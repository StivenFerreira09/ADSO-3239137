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tables/table11.xml" ContentType="application/vnd.openxmlformats-officedocument.spreadsheetml.table+xml"/>
  <Override PartName="/xl/comments3.xml" ContentType="application/vnd.openxmlformats-officedocument.spreadsheetml.comments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8_{CAB76CF0-F036-4F55-9A5C-EE8DC1C29F6D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CONSULTA_PEDIDO" sheetId="1" r:id="rId1"/>
    <sheet name="RESUMEN_TRAZABILIDAD" sheetId="2" r:id="rId2"/>
    <sheet name="CONTINENTE" sheetId="3" r:id="rId3"/>
    <sheet name="PAIS" sheetId="4" r:id="rId4"/>
    <sheet name="DEPARTAMENTO" sheetId="5" r:id="rId5"/>
    <sheet name="MUNICIPIO" sheetId="6" r:id="rId6"/>
    <sheet name="BARRIO" sheetId="7" r:id="rId7"/>
    <sheet name="PRODUCTO" sheetId="8" r:id="rId8"/>
    <sheet name="CLIENTE" sheetId="9" r:id="rId9"/>
    <sheet name="TRANSPORTADORA" sheetId="10" r:id="rId10"/>
    <sheet name="PEDIDO" sheetId="11" r:id="rId11"/>
    <sheet name="DETALLE_PRODUCTO" sheetId="12" r:id="rId12"/>
    <sheet name="EVENTO_TRAZABILIDAD" sheetId="13" r:id="rId1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2" l="1"/>
  <c r="M6" i="2" s="1"/>
  <c r="F9" i="12"/>
  <c r="F8" i="12"/>
  <c r="F7" i="12"/>
  <c r="F6" i="12"/>
  <c r="M4" i="2" s="1"/>
  <c r="F5" i="12"/>
  <c r="F4" i="12"/>
  <c r="B19" i="1" s="1"/>
  <c r="F3" i="12"/>
  <c r="F2" i="12"/>
  <c r="L6" i="2"/>
  <c r="K6" i="2"/>
  <c r="J6" i="2"/>
  <c r="I6" i="2"/>
  <c r="H6" i="2"/>
  <c r="G6" i="2"/>
  <c r="F6" i="2"/>
  <c r="E6" i="2"/>
  <c r="D6" i="2"/>
  <c r="C6" i="2"/>
  <c r="B6" i="2"/>
  <c r="M5" i="2"/>
  <c r="L5" i="2"/>
  <c r="K5" i="2"/>
  <c r="J5" i="2"/>
  <c r="I5" i="2"/>
  <c r="H5" i="2"/>
  <c r="G5" i="2"/>
  <c r="F5" i="2"/>
  <c r="E5" i="2"/>
  <c r="D5" i="2"/>
  <c r="C5" i="2"/>
  <c r="B5" i="2"/>
  <c r="L4" i="2"/>
  <c r="K4" i="2"/>
  <c r="J4" i="2"/>
  <c r="I4" i="2"/>
  <c r="H4" i="2"/>
  <c r="G4" i="2"/>
  <c r="F4" i="2"/>
  <c r="E4" i="2"/>
  <c r="D4" i="2"/>
  <c r="C4" i="2"/>
  <c r="B4" i="2"/>
  <c r="L3" i="2"/>
  <c r="K3" i="2"/>
  <c r="J3" i="2"/>
  <c r="I3" i="2"/>
  <c r="H3" i="2"/>
  <c r="G3" i="2"/>
  <c r="F3" i="2"/>
  <c r="E3" i="2"/>
  <c r="D3" i="2"/>
  <c r="C3" i="2"/>
  <c r="B3" i="2"/>
  <c r="L2" i="2"/>
  <c r="K2" i="2"/>
  <c r="J2" i="2"/>
  <c r="I2" i="2"/>
  <c r="H2" i="2"/>
  <c r="G2" i="2"/>
  <c r="F2" i="2"/>
  <c r="E2" i="2"/>
  <c r="D2" i="2"/>
  <c r="C2" i="2"/>
  <c r="B2" i="2"/>
  <c r="B18" i="1"/>
  <c r="B17" i="1"/>
  <c r="B15" i="1"/>
  <c r="B14" i="1"/>
  <c r="B13" i="1"/>
  <c r="B12" i="1"/>
  <c r="B11" i="1"/>
  <c r="B10" i="1"/>
  <c r="B9" i="1"/>
  <c r="B8" i="1"/>
  <c r="B7" i="1"/>
  <c r="B6" i="1"/>
  <c r="B5" i="1"/>
  <c r="M2" i="2" l="1"/>
  <c r="M3" i="2"/>
  <c r="A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Usa esta hoja para buscar un pedido y ver su información principal.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Clave primaria de PEDIDO.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Subtotal = cantidad * precio_unitario.</t>
        </r>
      </text>
    </comment>
  </commentList>
</comments>
</file>

<file path=xl/sharedStrings.xml><?xml version="1.0" encoding="utf-8"?>
<sst xmlns="http://schemas.openxmlformats.org/spreadsheetml/2006/main" count="259" uniqueCount="219">
  <si>
    <t>CONSULTA DE PEDIDO</t>
  </si>
  <si>
    <t>Seleccione id_pedido:</t>
  </si>
  <si>
    <t>Fecha pedido</t>
  </si>
  <si>
    <t>Dirección origen</t>
  </si>
  <si>
    <t>Dirección destino</t>
  </si>
  <si>
    <t>Estado pedido</t>
  </si>
  <si>
    <t>Cliente</t>
  </si>
  <si>
    <t>Transportadora</t>
  </si>
  <si>
    <t>Barrio destino</t>
  </si>
  <si>
    <t>Municipio destino</t>
  </si>
  <si>
    <t>Departamento destino</t>
  </si>
  <si>
    <t>País destino</t>
  </si>
  <si>
    <t>Continente destino</t>
  </si>
  <si>
    <t>Municipio origen</t>
  </si>
  <si>
    <t>Cantidad de ítems</t>
  </si>
  <si>
    <t>Valor total pedido</t>
  </si>
  <si>
    <t>Resumen trazabilidad</t>
  </si>
  <si>
    <t>id_pedido</t>
  </si>
  <si>
    <t>fecha_pedido</t>
  </si>
  <si>
    <t>municipio_origen</t>
  </si>
  <si>
    <t>barrio_destino</t>
  </si>
  <si>
    <t>municipio_destino</t>
  </si>
  <si>
    <t>departamento_destino</t>
  </si>
  <si>
    <t>pais_destino</t>
  </si>
  <si>
    <t>continente_destino</t>
  </si>
  <si>
    <t>estado_pedido</t>
  </si>
  <si>
    <t>cliente</t>
  </si>
  <si>
    <t>transportadora</t>
  </si>
  <si>
    <t>cantidad_items</t>
  </si>
  <si>
    <t>valor_total</t>
  </si>
  <si>
    <t>id_continente</t>
  </si>
  <si>
    <t>nombre</t>
  </si>
  <si>
    <t>descripcion</t>
  </si>
  <si>
    <t>América</t>
  </si>
  <si>
    <t>Continente americano</t>
  </si>
  <si>
    <t>Europa</t>
  </si>
  <si>
    <t>Continente europeo</t>
  </si>
  <si>
    <t>Asia</t>
  </si>
  <si>
    <t>Continente asiático</t>
  </si>
  <si>
    <t>id_pais</t>
  </si>
  <si>
    <t>continente_id</t>
  </si>
  <si>
    <t>Colombia</t>
  </si>
  <si>
    <t>País ubicado en América del Sur</t>
  </si>
  <si>
    <t>México</t>
  </si>
  <si>
    <t>País ubicado en América del Norte</t>
  </si>
  <si>
    <t>España</t>
  </si>
  <si>
    <t>País ubicado en Europa occidental</t>
  </si>
  <si>
    <t>Japón</t>
  </si>
  <si>
    <t>País ubicado en Asia oriental</t>
  </si>
  <si>
    <t>id_departamento</t>
  </si>
  <si>
    <t>pais_id</t>
  </si>
  <si>
    <t>Cundinamarca</t>
  </si>
  <si>
    <t>Departamento de Colombia</t>
  </si>
  <si>
    <t>Antioquia</t>
  </si>
  <si>
    <t>Huila</t>
  </si>
  <si>
    <t>Jalisco</t>
  </si>
  <si>
    <t>Estado de México</t>
  </si>
  <si>
    <t>Madrid</t>
  </si>
  <si>
    <t>Comunidad de España</t>
  </si>
  <si>
    <t>Tokio</t>
  </si>
  <si>
    <t>Prefectura de Japón</t>
  </si>
  <si>
    <t>id_municipio</t>
  </si>
  <si>
    <t>departamento_id</t>
  </si>
  <si>
    <t>Bogotá</t>
  </si>
  <si>
    <t>Capital de Colombia</t>
  </si>
  <si>
    <t>Medellín</t>
  </si>
  <si>
    <t>Municipio de Antioquia</t>
  </si>
  <si>
    <t>Neiva</t>
  </si>
  <si>
    <t>Capital del Huila</t>
  </si>
  <si>
    <t>Guadalajara</t>
  </si>
  <si>
    <t>Municipio de Jalisco</t>
  </si>
  <si>
    <t>Capital de España</t>
  </si>
  <si>
    <t>Shinjuku</t>
  </si>
  <si>
    <t>Distrito de Tokio</t>
  </si>
  <si>
    <t>id_barrio</t>
  </si>
  <si>
    <t>codigo_postal</t>
  </si>
  <si>
    <t>municipio_id</t>
  </si>
  <si>
    <t>Chapinero</t>
  </si>
  <si>
    <t>Barrio urbano de Bogotá</t>
  </si>
  <si>
    <t>110231</t>
  </si>
  <si>
    <t>Centro</t>
  </si>
  <si>
    <t>Barrio céntrico de Medellín</t>
  </si>
  <si>
    <t>050021</t>
  </si>
  <si>
    <t>Altico</t>
  </si>
  <si>
    <t>Barrio residencial de Neiva</t>
  </si>
  <si>
    <t>410001</t>
  </si>
  <si>
    <t>Americana</t>
  </si>
  <si>
    <t>Barrio tradicional de Guadalajara</t>
  </si>
  <si>
    <t>44160</t>
  </si>
  <si>
    <t>Sol</t>
  </si>
  <si>
    <t>Barrio céntrico de Madrid</t>
  </si>
  <si>
    <t>28013</t>
  </si>
  <si>
    <t>Kabukicho</t>
  </si>
  <si>
    <t>Barrio comercial de Shinjuku</t>
  </si>
  <si>
    <t>1600021</t>
  </si>
  <si>
    <t>id_producto</t>
  </si>
  <si>
    <t>precio</t>
  </si>
  <si>
    <t>Laptop X</t>
  </si>
  <si>
    <t>Portátil de alto rendimiento</t>
  </si>
  <si>
    <t>Smartphone Pro</t>
  </si>
  <si>
    <t>Teléfono inteligente gama alta</t>
  </si>
  <si>
    <t>Audífonos Max</t>
  </si>
  <si>
    <t>Audífonos inalámbricos con cancelación de ruido</t>
  </si>
  <si>
    <t>Tablet Air</t>
  </si>
  <si>
    <t>Tableta liviana para trabajo y estudio</t>
  </si>
  <si>
    <t>Smartwatch Fit</t>
  </si>
  <si>
    <t>Reloj inteligente deportivo</t>
  </si>
  <si>
    <t>id_cliente</t>
  </si>
  <si>
    <t>numero_documento</t>
  </si>
  <si>
    <t>email</t>
  </si>
  <si>
    <t>telefono</t>
  </si>
  <si>
    <t>1001001001</t>
  </si>
  <si>
    <t>Laura Gómez</t>
  </si>
  <si>
    <t>laura@gmail.com</t>
  </si>
  <si>
    <t>3001112233</t>
  </si>
  <si>
    <t>1001001002</t>
  </si>
  <si>
    <t>Carlos Martínez</t>
  </si>
  <si>
    <t>carlos@gmail.com</t>
  </si>
  <si>
    <t>3001112234</t>
  </si>
  <si>
    <t>1001001003</t>
  </si>
  <si>
    <t>Ana Rodríguez</t>
  </si>
  <si>
    <t>ana@gmail.com</t>
  </si>
  <si>
    <t>3001112235</t>
  </si>
  <si>
    <t>1001001004</t>
  </si>
  <si>
    <t>David Fernández</t>
  </si>
  <si>
    <t>david@gmail.com</t>
  </si>
  <si>
    <t>3001112236</t>
  </si>
  <si>
    <t>1001001005</t>
  </si>
  <si>
    <t>Sofía Torres</t>
  </si>
  <si>
    <t>sofia@gmail.com</t>
  </si>
  <si>
    <t>3001112237</t>
  </si>
  <si>
    <t>id_transportadora</t>
  </si>
  <si>
    <t>nit</t>
  </si>
  <si>
    <t>900123001</t>
  </si>
  <si>
    <t>DHL Express</t>
  </si>
  <si>
    <t>contacto@dhl.com</t>
  </si>
  <si>
    <t>6011111111</t>
  </si>
  <si>
    <t>900123002</t>
  </si>
  <si>
    <t>FedEx Cargo</t>
  </si>
  <si>
    <t>soporte@fedex.com</t>
  </si>
  <si>
    <t>6011111112</t>
  </si>
  <si>
    <t>900123003</t>
  </si>
  <si>
    <t>Servientrega Global</t>
  </si>
  <si>
    <t>info@servientrega.com</t>
  </si>
  <si>
    <t>6011111113</t>
  </si>
  <si>
    <t>direccion_origen</t>
  </si>
  <si>
    <t>direccion_destino</t>
  </si>
  <si>
    <t>fecha_despacho</t>
  </si>
  <si>
    <t>fecha_entrega_estimada</t>
  </si>
  <si>
    <t>fecha_entrega_real</t>
  </si>
  <si>
    <t>cliente_id</t>
  </si>
  <si>
    <t>transportadora_id</t>
  </si>
  <si>
    <t>barrio_destino_id</t>
  </si>
  <si>
    <t>municipio_origen_id</t>
  </si>
  <si>
    <t>2026-02-01</t>
  </si>
  <si>
    <t>Calle 10 # 5-20</t>
  </si>
  <si>
    <t>Carrera 45 # 50-10</t>
  </si>
  <si>
    <t>2026-02-02</t>
  </si>
  <si>
    <t>2026-02-06</t>
  </si>
  <si>
    <t>2026-02-05</t>
  </si>
  <si>
    <t>Entregado</t>
  </si>
  <si>
    <t>2026-02-03</t>
  </si>
  <si>
    <t>Calle 8 # 12-30</t>
  </si>
  <si>
    <t>Calle 7 # 3-15</t>
  </si>
  <si>
    <t>2026-02-04</t>
  </si>
  <si>
    <t>2026-02-08</t>
  </si>
  <si>
    <t>Zona Industrial 22</t>
  </si>
  <si>
    <t>Avenida 9 # 14-55</t>
  </si>
  <si>
    <t>2026-02-12</t>
  </si>
  <si>
    <t>En tránsito</t>
  </si>
  <si>
    <t>Bodega Central Norte</t>
  </si>
  <si>
    <t>Plaza Mayor 100</t>
  </si>
  <si>
    <t>2026-02-07</t>
  </si>
  <si>
    <t>2026-02-14</t>
  </si>
  <si>
    <t>En aduana</t>
  </si>
  <si>
    <t>Calle 90 # 11-40</t>
  </si>
  <si>
    <t>Avenida Sakura 77</t>
  </si>
  <si>
    <t>2026-02-09</t>
  </si>
  <si>
    <t>2026-02-16</t>
  </si>
  <si>
    <t>Despachado</t>
  </si>
  <si>
    <t>id_detalle_producto</t>
  </si>
  <si>
    <t>pedido_id</t>
  </si>
  <si>
    <t>producto_id</t>
  </si>
  <si>
    <t>cantidad</t>
  </si>
  <si>
    <t>precio_unitario</t>
  </si>
  <si>
    <t>subtotal</t>
  </si>
  <si>
    <t>id_evento_trazabilidad</t>
  </si>
  <si>
    <t>fecha_evento</t>
  </si>
  <si>
    <t>estado_evento</t>
  </si>
  <si>
    <t>latitud</t>
  </si>
  <si>
    <t>longitud</t>
  </si>
  <si>
    <t>barrio_id</t>
  </si>
  <si>
    <t>2026-02-02 08:00</t>
  </si>
  <si>
    <t>Pedido recibido</t>
  </si>
  <si>
    <t>Pedido registrado en el sistema</t>
  </si>
  <si>
    <t>2026-02-02 15:00</t>
  </si>
  <si>
    <t>Pedido salió de bodega en Bogotá</t>
  </si>
  <si>
    <t>2026-02-04 10:00</t>
  </si>
  <si>
    <t>Pedido en ruta hacia Medellín</t>
  </si>
  <si>
    <t>2026-02-05 14:00</t>
  </si>
  <si>
    <t>Pedido entregado al cliente</t>
  </si>
  <si>
    <t>2026-02-04 09:00</t>
  </si>
  <si>
    <t>Pedido confirmado</t>
  </si>
  <si>
    <t>2026-02-05 11:00</t>
  </si>
  <si>
    <t>Salida desde Bogotá</t>
  </si>
  <si>
    <t>2026-02-07 16:00</t>
  </si>
  <si>
    <t>Pedido entregado en Neiva</t>
  </si>
  <si>
    <t>2026-02-06 10:00</t>
  </si>
  <si>
    <t>Pedido salió de Medellín</t>
  </si>
  <si>
    <t>2026-02-08 18:00</t>
  </si>
  <si>
    <t>Vuelo internacional en proceso</t>
  </si>
  <si>
    <t>2026-02-07 13:00</t>
  </si>
  <si>
    <t>Salida de Bogotá hacia España</t>
  </si>
  <si>
    <t>2026-02-10 09:00</t>
  </si>
  <si>
    <t>Revisión en aduana de Madrid</t>
  </si>
  <si>
    <t>2026-02-09 07:30</t>
  </si>
  <si>
    <t>Pedido salió de Bogotá</t>
  </si>
  <si>
    <t>2026-02-12 20:00</t>
  </si>
  <si>
    <t>Pedido en centro logístico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</si>
</sst>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0"/>
    <numFmt numFmtId="166" formatCode="\$#,##0.00"/>
    <numFmt numFmtId="167" formatCode="yyyy\-mm\-dd"/>
    <numFmt numFmtId="168" formatCode="yyyy\-mm\-dd\ hh:mm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1"/>
      <name val="Calibri"/>
    </font>
    <font>
      <sz val="11"/>
      <name val="Calibri"/>
    </font>
    <font>
      <b/>
      <sz val="16"/>
      <color rgb="FF1F4E78"/>
      <name val="Calibri"/>
    </font>
    <font>
      <b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F8FB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165" fontId="3" fillId="0" borderId="1" xfId="0" applyNumberFormat="1" applyFont="1" applyBorder="1"/>
    <xf numFmtId="0" fontId="6" fillId="0" borderId="3" xfId="0" applyFont="1" applyBorder="1"/>
    <xf numFmtId="0" fontId="5" fillId="0" borderId="3" xfId="0" applyFont="1" applyBorder="1"/>
    <xf numFmtId="0" fontId="8" fillId="4" borderId="3" xfId="0" applyFont="1" applyFill="1" applyBorder="1"/>
    <xf numFmtId="0" fontId="5" fillId="5" borderId="3" xfId="0" applyFont="1" applyFill="1" applyBorder="1"/>
    <xf numFmtId="0" fontId="6" fillId="6" borderId="3" xfId="0" applyFont="1" applyFill="1" applyBorder="1"/>
    <xf numFmtId="166" fontId="6" fillId="6" borderId="3" xfId="0" applyNumberFormat="1" applyFont="1" applyFill="1" applyBorder="1"/>
    <xf numFmtId="0" fontId="1" fillId="2" borderId="3" xfId="0" applyFont="1" applyFill="1" applyBorder="1"/>
    <xf numFmtId="0" fontId="1" fillId="2" borderId="0" xfId="0" applyFont="1" applyFill="1" applyAlignment="1">
      <alignment horizontal="center"/>
    </xf>
    <xf numFmtId="167" fontId="0" fillId="0" borderId="0" xfId="0" applyNumberFormat="1"/>
    <xf numFmtId="166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166" fontId="3" fillId="0" borderId="1" xfId="0" applyNumberFormat="1" applyFont="1" applyBorder="1"/>
    <xf numFmtId="167" fontId="4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0" fontId="7" fillId="3" borderId="3" xfId="0" applyFont="1" applyFill="1" applyBorder="1" applyAlignment="1">
      <alignment horizontal="center"/>
    </xf>
    <xf numFmtId="0" fontId="0" fillId="0" borderId="0" xfId="0"/>
    <xf numFmtId="0" fontId="6" fillId="0" borderId="3" xfId="0" applyFont="1" applyBorder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F4B183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RESUMEN_TRAZABILIDAD" displayName="T_RESUMEN_TRAZABILIDAD" ref="A1:M6">
  <autoFilter ref="A1:M6" xr:uid="{00000000-0009-0000-0100-000001000000}"/>
  <tableColumns count="13">
    <tableColumn id="1" xr3:uid="{00000000-0010-0000-0000-000001000000}" name="id_pedido"/>
    <tableColumn id="2" xr3:uid="{00000000-0010-0000-0000-000002000000}" name="fecha_pedido"/>
    <tableColumn id="3" xr3:uid="{00000000-0010-0000-0000-000003000000}" name="municipio_origen"/>
    <tableColumn id="4" xr3:uid="{00000000-0010-0000-0000-000004000000}" name="barrio_destino"/>
    <tableColumn id="5" xr3:uid="{00000000-0010-0000-0000-000005000000}" name="municipio_destino"/>
    <tableColumn id="6" xr3:uid="{00000000-0010-0000-0000-000006000000}" name="departamento_destino"/>
    <tableColumn id="7" xr3:uid="{00000000-0010-0000-0000-000007000000}" name="pais_destino"/>
    <tableColumn id="8" xr3:uid="{00000000-0010-0000-0000-000008000000}" name="continente_destino"/>
    <tableColumn id="9" xr3:uid="{00000000-0010-0000-0000-000009000000}" name="estado_pedido"/>
    <tableColumn id="10" xr3:uid="{00000000-0010-0000-0000-00000A000000}" name="cliente"/>
    <tableColumn id="11" xr3:uid="{00000000-0010-0000-0000-00000B000000}" name="transportadora"/>
    <tableColumn id="12" xr3:uid="{00000000-0010-0000-0000-00000C000000}" name="cantidad_items"/>
    <tableColumn id="13" xr3:uid="{00000000-0010-0000-0000-00000D000000}" name="valor_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CONTINENTE" displayName="T_CONTINENTE" ref="A1:C4">
  <autoFilter ref="A1:C4" xr:uid="{00000000-0009-0000-0100-000002000000}"/>
  <tableColumns count="3">
    <tableColumn id="1" xr3:uid="{00000000-0010-0000-0100-000001000000}" name="id_continente"/>
    <tableColumn id="2" xr3:uid="{00000000-0010-0000-0100-000002000000}" name="nombre"/>
    <tableColumn id="3" xr3:uid="{00000000-0010-0000-0100-000003000000}" name="descrip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PAIS" displayName="T_PAIS" ref="A1:D5">
  <autoFilter ref="A1:D5" xr:uid="{00000000-0009-0000-0100-000003000000}"/>
  <tableColumns count="4">
    <tableColumn id="1" xr3:uid="{00000000-0010-0000-0200-000001000000}" name="id_pais"/>
    <tableColumn id="2" xr3:uid="{00000000-0010-0000-0200-000002000000}" name="nombre"/>
    <tableColumn id="3" xr3:uid="{00000000-0010-0000-0200-000003000000}" name="descripcion"/>
    <tableColumn id="4" xr3:uid="{00000000-0010-0000-0200-000004000000}" name="continente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DEPARTAMENTO" displayName="T_DEPARTAMENTO" ref="A1:D7">
  <autoFilter ref="A1:D7" xr:uid="{00000000-0009-0000-0100-000004000000}"/>
  <tableColumns count="4">
    <tableColumn id="1" xr3:uid="{00000000-0010-0000-0300-000001000000}" name="id_departamento"/>
    <tableColumn id="2" xr3:uid="{00000000-0010-0000-0300-000002000000}" name="nombre"/>
    <tableColumn id="3" xr3:uid="{00000000-0010-0000-0300-000003000000}" name="descripcion"/>
    <tableColumn id="4" xr3:uid="{00000000-0010-0000-0300-000004000000}" name="pais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MUNICIPIO" displayName="T_MUNICIPIO" ref="A1:D7">
  <autoFilter ref="A1:D7" xr:uid="{00000000-0009-0000-0100-000005000000}"/>
  <tableColumns count="4">
    <tableColumn id="1" xr3:uid="{00000000-0010-0000-0400-000001000000}" name="id_municipio"/>
    <tableColumn id="2" xr3:uid="{00000000-0010-0000-0400-000002000000}" name="nombre"/>
    <tableColumn id="3" xr3:uid="{00000000-0010-0000-0400-000003000000}" name="descripcion"/>
    <tableColumn id="4" xr3:uid="{00000000-0010-0000-0400-000004000000}" name="departamento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BARRIO" displayName="T_BARRIO" ref="A1:E7">
  <autoFilter ref="A1:E7" xr:uid="{00000000-0009-0000-0100-000006000000}"/>
  <tableColumns count="5">
    <tableColumn id="1" xr3:uid="{00000000-0010-0000-0500-000001000000}" name="id_barrio"/>
    <tableColumn id="2" xr3:uid="{00000000-0010-0000-0500-000002000000}" name="nombre"/>
    <tableColumn id="3" xr3:uid="{00000000-0010-0000-0500-000003000000}" name="descripcion"/>
    <tableColumn id="4" xr3:uid="{00000000-0010-0000-0500-000004000000}" name="codigo_postal"/>
    <tableColumn id="5" xr3:uid="{00000000-0010-0000-0500-000005000000}" name="municipio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PRODUCTO" displayName="T_PRODUCTO" ref="A1:D6">
  <autoFilter ref="A1:D6" xr:uid="{00000000-0009-0000-0100-000007000000}"/>
  <tableColumns count="4">
    <tableColumn id="1" xr3:uid="{00000000-0010-0000-0600-000001000000}" name="id_producto"/>
    <tableColumn id="2" xr3:uid="{00000000-0010-0000-0600-000002000000}" name="nombre"/>
    <tableColumn id="3" xr3:uid="{00000000-0010-0000-0600-000003000000}" name="descripcion"/>
    <tableColumn id="4" xr3:uid="{00000000-0010-0000-0600-000004000000}" name="preci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CLIENTE" displayName="T_CLIENTE" ref="A1:E6">
  <autoFilter ref="A1:E6" xr:uid="{00000000-0009-0000-0100-000008000000}"/>
  <tableColumns count="5">
    <tableColumn id="1" xr3:uid="{00000000-0010-0000-0700-000001000000}" name="id_cliente"/>
    <tableColumn id="2" xr3:uid="{00000000-0010-0000-0700-000002000000}" name="numero_documento"/>
    <tableColumn id="3" xr3:uid="{00000000-0010-0000-0700-000003000000}" name="nombre"/>
    <tableColumn id="4" xr3:uid="{00000000-0010-0000-0700-000004000000}" name="email"/>
    <tableColumn id="5" xr3:uid="{00000000-0010-0000-0700-000005000000}" name="telefon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TRANSPORTADORA" displayName="T_TRANSPORTADORA" ref="A1:E4">
  <autoFilter ref="A1:E4" xr:uid="{00000000-0009-0000-0100-000009000000}"/>
  <tableColumns count="5">
    <tableColumn id="1" xr3:uid="{00000000-0010-0000-0800-000001000000}" name="id_transportadora"/>
    <tableColumn id="2" xr3:uid="{00000000-0010-0000-0800-000002000000}" name="nit"/>
    <tableColumn id="3" xr3:uid="{00000000-0010-0000-0800-000003000000}" name="nombre"/>
    <tableColumn id="4" xr3:uid="{00000000-0010-0000-0800-000004000000}" name="email"/>
    <tableColumn id="5" xr3:uid="{00000000-0010-0000-0800-000005000000}" name="telefon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PEDIDO" displayName="T_PEDIDO" ref="A1:L6">
  <autoFilter ref="A1:L6" xr:uid="{00000000-0009-0000-0100-00000A000000}"/>
  <tableColumns count="12">
    <tableColumn id="1" xr3:uid="{00000000-0010-0000-0900-000001000000}" name="id_pedido"/>
    <tableColumn id="2" xr3:uid="{00000000-0010-0000-0900-000002000000}" name="fecha_pedido"/>
    <tableColumn id="3" xr3:uid="{00000000-0010-0000-0900-000003000000}" name="direccion_origen"/>
    <tableColumn id="4" xr3:uid="{00000000-0010-0000-0900-000004000000}" name="direccion_destino"/>
    <tableColumn id="5" xr3:uid="{00000000-0010-0000-0900-000005000000}" name="fecha_despacho"/>
    <tableColumn id="6" xr3:uid="{00000000-0010-0000-0900-000006000000}" name="fecha_entrega_estimada"/>
    <tableColumn id="7" xr3:uid="{00000000-0010-0000-0900-000007000000}" name="fecha_entrega_real"/>
    <tableColumn id="8" xr3:uid="{00000000-0010-0000-0900-000008000000}" name="estado_pedido"/>
    <tableColumn id="9" xr3:uid="{00000000-0010-0000-0900-000009000000}" name="cliente_id"/>
    <tableColumn id="10" xr3:uid="{00000000-0010-0000-0900-00000A000000}" name="transportadora_id"/>
    <tableColumn id="11" xr3:uid="{00000000-0010-0000-0900-00000B000000}" name="barrio_destino_id"/>
    <tableColumn id="12" xr3:uid="{00000000-0010-0000-0900-00000C000000}" name="municipio_origen_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DETALLE_PRODUCTO" displayName="T_DETALLE_PRODUCTO" ref="A1:F10">
  <autoFilter ref="A1:F10" xr:uid="{00000000-0009-0000-0100-00000B000000}"/>
  <tableColumns count="6">
    <tableColumn id="1" xr3:uid="{00000000-0010-0000-0A00-000001000000}" name="id_detalle_producto"/>
    <tableColumn id="2" xr3:uid="{00000000-0010-0000-0A00-000002000000}" name="pedido_id"/>
    <tableColumn id="3" xr3:uid="{00000000-0010-0000-0A00-000003000000}" name="producto_id"/>
    <tableColumn id="4" xr3:uid="{00000000-0010-0000-0A00-000004000000}" name="cantidad"/>
    <tableColumn id="5" xr3:uid="{00000000-0010-0000-0A00-000005000000}" name="precio_unitario"/>
    <tableColumn id="6" xr3:uid="{00000000-0010-0000-0A00-000006000000}" name="subtota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EVENTO_TRAZABILIDAD" displayName="T_EVENTO_TRAZABILIDAD" ref="A1:H14">
  <autoFilter ref="A1:H14" xr:uid="{00000000-0009-0000-0100-00000C000000}"/>
  <tableColumns count="8">
    <tableColumn id="1" xr3:uid="{00000000-0010-0000-0B00-000001000000}" name="id_evento_trazabilidad"/>
    <tableColumn id="2" xr3:uid="{00000000-0010-0000-0B00-000002000000}" name="pedido_id"/>
    <tableColumn id="3" xr3:uid="{00000000-0010-0000-0B00-000003000000}" name="fecha_evento"/>
    <tableColumn id="4" xr3:uid="{00000000-0010-0000-0B00-000004000000}" name="estado_evento"/>
    <tableColumn id="5" xr3:uid="{00000000-0010-0000-0B00-000005000000}" name="descripcion"/>
    <tableColumn id="6" xr3:uid="{00000000-0010-0000-0B00-000006000000}" name="latitud"/>
    <tableColumn id="7" xr3:uid="{00000000-0010-0000-0B00-000007000000}" name="longitud"/>
    <tableColumn id="8" xr3:uid="{00000000-0010-0000-0B00-000008000000}" name="barrio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workbookViewId="0">
      <pane ySplit="2" topLeftCell="A13" activePane="bottomLeft" state="frozen"/>
      <selection pane="bottomLeft" activeCell="D12" sqref="D12"/>
    </sheetView>
  </sheetViews>
  <sheetFormatPr baseColWidth="10" defaultColWidth="8.88671875" defaultRowHeight="14.4" x14ac:dyDescent="0.3"/>
  <cols>
    <col min="1" max="1" width="24" customWidth="1"/>
    <col min="2" max="2" width="28" customWidth="1"/>
    <col min="3" max="4" width="16" customWidth="1"/>
    <col min="5" max="5" width="16" hidden="1" customWidth="1"/>
  </cols>
  <sheetData>
    <row r="1" spans="1:5" ht="22.05" customHeight="1" x14ac:dyDescent="0.4">
      <c r="A1" s="20" t="s">
        <v>0</v>
      </c>
      <c r="B1" s="21"/>
      <c r="C1" s="21"/>
      <c r="D1" s="21"/>
      <c r="E1" s="5"/>
    </row>
    <row r="2" spans="1:5" ht="22.05" customHeight="1" x14ac:dyDescent="0.3">
      <c r="A2" s="5"/>
      <c r="B2" s="5"/>
      <c r="C2" s="5"/>
      <c r="D2" s="5"/>
      <c r="E2" s="5"/>
    </row>
    <row r="3" spans="1:5" ht="22.05" customHeight="1" x14ac:dyDescent="0.3">
      <c r="A3" s="6" t="s">
        <v>1</v>
      </c>
      <c r="B3" s="7">
        <v>2</v>
      </c>
      <c r="C3" s="5"/>
      <c r="D3" s="5"/>
      <c r="E3" s="5"/>
    </row>
    <row r="4" spans="1:5" ht="22.05" customHeight="1" x14ac:dyDescent="0.3">
      <c r="A4" s="5"/>
      <c r="B4" s="5"/>
      <c r="C4" s="5"/>
      <c r="D4" s="5"/>
      <c r="E4" s="5"/>
    </row>
    <row r="5" spans="1:5" ht="22.05" customHeight="1" x14ac:dyDescent="0.3">
      <c r="A5" s="8" t="s">
        <v>2</v>
      </c>
      <c r="B5" s="9" t="str">
        <f>IFERROR(VLOOKUP($B$3,PEDIDO!$A:$L,2,FALSE),"")</f>
        <v>2026-02-03</v>
      </c>
      <c r="C5" s="5"/>
      <c r="D5" s="5"/>
      <c r="E5" s="5"/>
    </row>
    <row r="6" spans="1:5" ht="22.05" customHeight="1" x14ac:dyDescent="0.3">
      <c r="A6" s="8" t="s">
        <v>3</v>
      </c>
      <c r="B6" s="9" t="str">
        <f>IFERROR(VLOOKUP($B$3,PEDIDO!$A:$L,3,FALSE),"")</f>
        <v>Calle 8 # 12-30</v>
      </c>
      <c r="C6" s="5"/>
      <c r="D6" s="5"/>
      <c r="E6" s="5"/>
    </row>
    <row r="7" spans="1:5" ht="22.05" customHeight="1" x14ac:dyDescent="0.3">
      <c r="A7" s="8" t="s">
        <v>4</v>
      </c>
      <c r="B7" s="9" t="str">
        <f>IFERROR(VLOOKUP($B$3,PEDIDO!$A:$L,4,FALSE),"")</f>
        <v>Calle 7 # 3-15</v>
      </c>
      <c r="C7" s="5"/>
      <c r="D7" s="5"/>
      <c r="E7" s="5"/>
    </row>
    <row r="8" spans="1:5" ht="22.05" customHeight="1" x14ac:dyDescent="0.3">
      <c r="A8" s="8" t="s">
        <v>5</v>
      </c>
      <c r="B8" s="9" t="str">
        <f>IFERROR(VLOOKUP($B$3,PEDIDO!$A:$L,8,FALSE),"")</f>
        <v>Entregado</v>
      </c>
      <c r="C8" s="5"/>
      <c r="D8" s="5"/>
      <c r="E8" s="5"/>
    </row>
    <row r="9" spans="1:5" ht="22.05" customHeight="1" x14ac:dyDescent="0.3">
      <c r="A9" s="8" t="s">
        <v>6</v>
      </c>
      <c r="B9" s="9" t="str">
        <f>IFERROR(VLOOKUP(VLOOKUP($B$3,PEDIDO!$A:$L,9,FALSE),CLIENTE!$A:$E,3,FALSE),"")</f>
        <v>Carlos Martínez</v>
      </c>
      <c r="C9" s="5"/>
      <c r="D9" s="5"/>
      <c r="E9" s="5"/>
    </row>
    <row r="10" spans="1:5" ht="22.05" customHeight="1" x14ac:dyDescent="0.3">
      <c r="A10" s="8" t="s">
        <v>7</v>
      </c>
      <c r="B10" s="9" t="str">
        <f>IFERROR(VLOOKUP(VLOOKUP($B$3,PEDIDO!$A:$L,10,FALSE),TRANSPORTADORA!$A:$E,3,FALSE),"")</f>
        <v>FedEx Cargo</v>
      </c>
      <c r="C10" s="5"/>
      <c r="D10" s="5"/>
      <c r="E10" s="5"/>
    </row>
    <row r="11" spans="1:5" ht="22.05" customHeight="1" x14ac:dyDescent="0.3">
      <c r="A11" s="8" t="s">
        <v>8</v>
      </c>
      <c r="B11" s="9" t="str">
        <f>IFERROR(VLOOKUP(VLOOKUP($B$3,PEDIDO!$A:$L,11,FALSE),BARRIO!$A:$E,2,FALSE),"")</f>
        <v>Altico</v>
      </c>
      <c r="C11" s="5"/>
      <c r="D11" s="5"/>
      <c r="E11" s="5"/>
    </row>
    <row r="12" spans="1:5" ht="22.05" customHeight="1" x14ac:dyDescent="0.3">
      <c r="A12" s="8" t="s">
        <v>9</v>
      </c>
      <c r="B12" s="9" t="str">
        <f>IFERROR(VLOOKUP(VLOOKUP(VLOOKUP($B$3,PEDIDO!$A:$L,11,FALSE),BARRIO!$A:$E,5,FALSE),MUNICIPIO!$A:$D,2,FALSE),"")</f>
        <v>Neiva</v>
      </c>
      <c r="C12" s="5"/>
      <c r="D12" s="5"/>
      <c r="E12" s="5"/>
    </row>
    <row r="13" spans="1:5" ht="22.05" customHeight="1" x14ac:dyDescent="0.3">
      <c r="A13" s="8" t="s">
        <v>10</v>
      </c>
      <c r="B13" s="9" t="str">
        <f>IFERROR(VLOOKUP(VLOOKUP(VLOOKUP(VLOOKUP($B$3,PEDIDO!$A:$L,11,FALSE),BARRIO!$A:$E,5,FALSE),MUNICIPIO!$A:$D,4,FALSE),DEPARTAMENTO!$A:$D,2,FALSE),"")</f>
        <v>Huila</v>
      </c>
      <c r="C13" s="5"/>
      <c r="D13" s="5"/>
      <c r="E13" s="5"/>
    </row>
    <row r="14" spans="1:5" ht="22.05" customHeight="1" x14ac:dyDescent="0.3">
      <c r="A14" s="8" t="s">
        <v>11</v>
      </c>
      <c r="B14" s="9" t="str">
        <f>IFERROR(VLOOKUP(VLOOKUP(VLOOKUP(VLOOKUP(VLOOKUP($B$3,PEDIDO!$A:$L,11,FALSE),BARRIO!$A:$E,5,FALSE),MUNICIPIO!$A:$D,4,FALSE),DEPARTAMENTO!$A:$D,4,FALSE),PAIS!$A:$D,2,FALSE),"")</f>
        <v>Colombia</v>
      </c>
      <c r="C14" s="5"/>
      <c r="D14" s="5"/>
      <c r="E14" s="5"/>
    </row>
    <row r="15" spans="1:5" ht="22.05" customHeight="1" x14ac:dyDescent="0.3">
      <c r="A15" s="8" t="s">
        <v>12</v>
      </c>
      <c r="B15" s="9" t="str">
        <f>IFERROR(VLOOKUP(VLOOKUP(VLOOKUP(VLOOKUP(VLOOKUP(VLOOKUP($B$3,PEDIDO!$A:$L,11,FALSE),BARRIO!$A:$E,5,FALSE),MUNICIPIO!$A:$D,4,FALSE),DEPARTAMENTO!$A:$D,4,FALSE),PAIS!$A:$D,4,FALSE),CONTINENTE!$A:$C,2,FALSE),"")</f>
        <v>América</v>
      </c>
      <c r="C15" s="5"/>
      <c r="D15" s="5"/>
      <c r="E15" s="5"/>
    </row>
    <row r="16" spans="1:5" ht="22.05" customHeight="1" x14ac:dyDescent="0.3">
      <c r="A16" s="5"/>
      <c r="B16" s="5"/>
      <c r="C16" s="5"/>
      <c r="D16" s="5"/>
      <c r="E16" s="5"/>
    </row>
    <row r="17" spans="1:5" ht="22.05" customHeight="1" x14ac:dyDescent="0.3">
      <c r="A17" s="8" t="s">
        <v>13</v>
      </c>
      <c r="B17" s="9" t="str">
        <f>IFERROR(VLOOKUP(VLOOKUP($B$3,PEDIDO!$A:$L,12,FALSE),MUNICIPIO!$A:$D,2,FALSE),"")</f>
        <v>Bogotá</v>
      </c>
      <c r="C17" s="5"/>
      <c r="D17" s="5"/>
      <c r="E17" s="5"/>
    </row>
    <row r="18" spans="1:5" ht="22.05" customHeight="1" x14ac:dyDescent="0.3">
      <c r="A18" s="8" t="s">
        <v>14</v>
      </c>
      <c r="B18" s="9">
        <f>IFERROR(SUMIF(DETALLE_PRODUCTO!$B:$B,$B$3,DETALLE_PRODUCTO!$D:$D),"")</f>
        <v>3</v>
      </c>
      <c r="C18" s="5"/>
      <c r="D18" s="5"/>
      <c r="E18" s="5"/>
    </row>
    <row r="19" spans="1:5" ht="22.05" customHeight="1" x14ac:dyDescent="0.3">
      <c r="A19" s="8" t="s">
        <v>15</v>
      </c>
      <c r="B19" s="10">
        <f>IFERROR(SUMIF(DETALLE_PRODUCTO!$B:$B,$B$3,DETALLE_PRODUCTO!$F:$F),"")</f>
        <v>4100</v>
      </c>
      <c r="C19" s="5"/>
      <c r="D19" s="5"/>
      <c r="E19" s="5"/>
    </row>
    <row r="20" spans="1:5" ht="22.05" customHeight="1" x14ac:dyDescent="0.3">
      <c r="A20" s="5"/>
      <c r="B20" s="5"/>
      <c r="C20" s="5"/>
      <c r="D20" s="5"/>
      <c r="E20" s="5"/>
    </row>
    <row r="21" spans="1:5" ht="22.05" customHeight="1" x14ac:dyDescent="0.3">
      <c r="A21" s="11" t="s">
        <v>16</v>
      </c>
      <c r="B21" s="5"/>
      <c r="C21" s="5"/>
      <c r="D21" s="5"/>
      <c r="E21" s="5"/>
    </row>
    <row r="22" spans="1:5" ht="64.05" customHeight="1" x14ac:dyDescent="0.3">
      <c r="A22" s="22" t="str">
        <f>IF(B3="","","El pedido " &amp; B3 &amp; " sale desde " &amp; B17 &amp; " y va hacia " &amp; B11 &amp; ", " &amp; B12 &amp; ", " &amp; B13 &amp; ", " &amp; B14 &amp; ", " &amp; B15 &amp; ". Estado actual: " &amp; B8 &amp; ".")</f>
        <v>El pedido 2 sale desde Bogotá y va hacia Altico, Neiva, Huila, Colombia, América. Estado actual: Entregado.</v>
      </c>
      <c r="B22" s="21"/>
      <c r="C22" s="21"/>
      <c r="D22" s="21"/>
      <c r="E22" s="5"/>
    </row>
    <row r="23" spans="1:5" ht="22.05" customHeight="1" x14ac:dyDescent="0.3">
      <c r="A23" s="21"/>
      <c r="B23" s="21"/>
      <c r="C23" s="21"/>
      <c r="D23" s="21"/>
      <c r="E23" s="5"/>
    </row>
    <row r="24" spans="1:5" ht="22.05" customHeight="1" x14ac:dyDescent="0.3">
      <c r="A24" s="21"/>
      <c r="B24" s="21"/>
      <c r="C24" s="21"/>
      <c r="D24" s="21"/>
      <c r="E24" s="5"/>
    </row>
  </sheetData>
  <mergeCells count="2">
    <mergeCell ref="A1:D1"/>
    <mergeCell ref="A22:D24"/>
  </mergeCell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="Seleccione un valor de la lista." prompt="Seleccione un id_pedido" xr:uid="{00000000-0002-0000-0000-000000000000}">
          <x14:formula1>
            <xm:f>PEDIDO!$A$2:$A$6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showGridLines="0" topLeftCell="G1" workbookViewId="0">
      <pane ySplit="1" topLeftCell="A2" activePane="bottomLeft" state="frozen"/>
      <selection pane="bottomLeft" activeCell="C3" sqref="C3"/>
    </sheetView>
  </sheetViews>
  <sheetFormatPr baseColWidth="10" defaultColWidth="8.88671875" defaultRowHeight="14.4" x14ac:dyDescent="0.3"/>
  <cols>
    <col min="1" max="1" width="15" customWidth="1"/>
    <col min="2" max="13" width="24" customWidth="1"/>
  </cols>
  <sheetData>
    <row r="1" spans="1:13" x14ac:dyDescent="0.3">
      <c r="A1" s="12" t="s">
        <v>17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2" t="s">
        <v>23</v>
      </c>
      <c r="H1" s="12" t="s">
        <v>24</v>
      </c>
      <c r="I1" s="12" t="s">
        <v>25</v>
      </c>
      <c r="J1" s="12" t="s">
        <v>26</v>
      </c>
      <c r="K1" s="12" t="s">
        <v>27</v>
      </c>
      <c r="L1" s="12" t="s">
        <v>28</v>
      </c>
      <c r="M1" s="12" t="s">
        <v>29</v>
      </c>
    </row>
    <row r="2" spans="1:13" x14ac:dyDescent="0.3">
      <c r="A2">
        <v>1</v>
      </c>
      <c r="B2" s="13" t="str">
        <f>VLOOKUP(A2,PEDIDO!$A:$L,2,FALSE)</f>
        <v>2026-02-01</v>
      </c>
      <c r="C2" t="str">
        <f>VLOOKUP(VLOOKUP(A2,PEDIDO!$A:$L,12,FALSE),MUNICIPIO!$A:$D,2,FALSE)</f>
        <v>Bogotá</v>
      </c>
      <c r="D2" t="str">
        <f>VLOOKUP(VLOOKUP(A2,PEDIDO!$A:$L,11,FALSE),BARRIO!$A:$E,2,FALSE)</f>
        <v>Centro</v>
      </c>
      <c r="E2" t="str">
        <f>VLOOKUP(VLOOKUP(VLOOKUP(A2,PEDIDO!$A:$L,11,FALSE),BARRIO!$A:$E,5,FALSE),MUNICIPIO!$A:$D,2,FALSE)</f>
        <v>Medellín</v>
      </c>
      <c r="F2" t="str">
        <f>VLOOKUP(VLOOKUP(VLOOKUP(VLOOKUP(A2,PEDIDO!$A:$L,11,FALSE),BARRIO!$A:$E,5,FALSE),MUNICIPIO!$A:$D,4,FALSE),DEPARTAMENTO!$A:$D,2,FALSE)</f>
        <v>Antioquia</v>
      </c>
      <c r="G2" t="str">
        <f>VLOOKUP(VLOOKUP(VLOOKUP(VLOOKUP(VLOOKUP(A2,PEDIDO!$A:$L,11,FALSE),BARRIO!$A:$E,5,FALSE),MUNICIPIO!$A:$D,4,FALSE),DEPARTAMENTO!$A:$D,4,FALSE),PAIS!$A:$D,2,FALSE)</f>
        <v>Colombia</v>
      </c>
      <c r="H2" t="str">
        <f>VLOOKUP(VLOOKUP(VLOOKUP(VLOOKUP(VLOOKUP(VLOOKUP(A2,PEDIDO!$A:$L,11,FALSE),BARRIO!$A:$E,5,FALSE),MUNICIPIO!$A:$D,4,FALSE),DEPARTAMENTO!$A:$D,4,FALSE),PAIS!$A:$D,4,FALSE),CONTINENTE!$A:$C,2,FALSE)</f>
        <v>América</v>
      </c>
      <c r="I2" t="str">
        <f>VLOOKUP(A2,PEDIDO!$A:$L,8,FALSE)</f>
        <v>Entregado</v>
      </c>
      <c r="J2" t="str">
        <f>VLOOKUP(VLOOKUP(A2,PEDIDO!$A:$L,9,FALSE),CLIENTE!$A:$E,3,FALSE)</f>
        <v>Laura Gómez</v>
      </c>
      <c r="K2" t="str">
        <f>VLOOKUP(VLOOKUP(A2,PEDIDO!$A:$L,10,FALSE),TRANSPORTADORA!$A:$E,3,FALSE)</f>
        <v>DHL Express</v>
      </c>
      <c r="L2">
        <f>SUMIF(DETALLE_PRODUCTO!$B:$B,A2,DETALLE_PRODUCTO!$D:$D)</f>
        <v>2</v>
      </c>
      <c r="M2" s="14">
        <f>SUMIF(DETALLE_PRODUCTO!$B:$B,A2,DETALLE_PRODUCTO!$F:$F)</f>
        <v>4700</v>
      </c>
    </row>
    <row r="3" spans="1:13" x14ac:dyDescent="0.3">
      <c r="A3">
        <v>2</v>
      </c>
      <c r="B3" s="13" t="str">
        <f>VLOOKUP(A3,PEDIDO!$A:$L,2,FALSE)</f>
        <v>2026-02-03</v>
      </c>
      <c r="C3" t="str">
        <f>VLOOKUP(VLOOKUP(A3,PEDIDO!$A:$L,12,FALSE),MUNICIPIO!$A:$D,2,FALSE)</f>
        <v>Bogotá</v>
      </c>
      <c r="D3" t="str">
        <f>VLOOKUP(VLOOKUP(A3,PEDIDO!$A:$L,11,FALSE),BARRIO!$A:$E,2,FALSE)</f>
        <v>Altico</v>
      </c>
      <c r="E3" t="str">
        <f>VLOOKUP(VLOOKUP(VLOOKUP(A3,PEDIDO!$A:$L,11,FALSE),BARRIO!$A:$E,5,FALSE),MUNICIPIO!$A:$D,2,FALSE)</f>
        <v>Neiva</v>
      </c>
      <c r="F3" t="str">
        <f>VLOOKUP(VLOOKUP(VLOOKUP(VLOOKUP(A3,PEDIDO!$A:$L,11,FALSE),BARRIO!$A:$E,5,FALSE),MUNICIPIO!$A:$D,4,FALSE),DEPARTAMENTO!$A:$D,2,FALSE)</f>
        <v>Huila</v>
      </c>
      <c r="G3" t="str">
        <f>VLOOKUP(VLOOKUP(VLOOKUP(VLOOKUP(VLOOKUP(A3,PEDIDO!$A:$L,11,FALSE),BARRIO!$A:$E,5,FALSE),MUNICIPIO!$A:$D,4,FALSE),DEPARTAMENTO!$A:$D,4,FALSE),PAIS!$A:$D,2,FALSE)</f>
        <v>Colombia</v>
      </c>
      <c r="H3" t="str">
        <f>VLOOKUP(VLOOKUP(VLOOKUP(VLOOKUP(VLOOKUP(VLOOKUP(A3,PEDIDO!$A:$L,11,FALSE),BARRIO!$A:$E,5,FALSE),MUNICIPIO!$A:$D,4,FALSE),DEPARTAMENTO!$A:$D,4,FALSE),PAIS!$A:$D,4,FALSE),CONTINENTE!$A:$C,2,FALSE)</f>
        <v>América</v>
      </c>
      <c r="I3" t="str">
        <f>VLOOKUP(A3,PEDIDO!$A:$L,8,FALSE)</f>
        <v>Entregado</v>
      </c>
      <c r="J3" t="str">
        <f>VLOOKUP(VLOOKUP(A3,PEDIDO!$A:$L,9,FALSE),CLIENTE!$A:$E,3,FALSE)</f>
        <v>Carlos Martínez</v>
      </c>
      <c r="K3" t="str">
        <f>VLOOKUP(VLOOKUP(A3,PEDIDO!$A:$L,10,FALSE),TRANSPORTADORA!$A:$E,3,FALSE)</f>
        <v>FedEx Cargo</v>
      </c>
      <c r="L3">
        <f>SUMIF(DETALLE_PRODUCTO!$B:$B,A3,DETALLE_PRODUCTO!$D:$D)</f>
        <v>3</v>
      </c>
      <c r="M3" s="14">
        <f>SUMIF(DETALLE_PRODUCTO!$B:$B,A3,DETALLE_PRODUCTO!$F:$F)</f>
        <v>4100</v>
      </c>
    </row>
    <row r="4" spans="1:13" x14ac:dyDescent="0.3">
      <c r="A4">
        <v>3</v>
      </c>
      <c r="B4" s="13" t="str">
        <f>VLOOKUP(A4,PEDIDO!$A:$L,2,FALSE)</f>
        <v>2026-02-05</v>
      </c>
      <c r="C4" t="str">
        <f>VLOOKUP(VLOOKUP(A4,PEDIDO!$A:$L,12,FALSE),MUNICIPIO!$A:$D,2,FALSE)</f>
        <v>Medellín</v>
      </c>
      <c r="D4" t="str">
        <f>VLOOKUP(VLOOKUP(A4,PEDIDO!$A:$L,11,FALSE),BARRIO!$A:$E,2,FALSE)</f>
        <v>Americana</v>
      </c>
      <c r="E4" t="str">
        <f>VLOOKUP(VLOOKUP(VLOOKUP(A4,PEDIDO!$A:$L,11,FALSE),BARRIO!$A:$E,5,FALSE),MUNICIPIO!$A:$D,2,FALSE)</f>
        <v>Guadalajara</v>
      </c>
      <c r="F4" t="str">
        <f>VLOOKUP(VLOOKUP(VLOOKUP(VLOOKUP(A4,PEDIDO!$A:$L,11,FALSE),BARRIO!$A:$E,5,FALSE),MUNICIPIO!$A:$D,4,FALSE),DEPARTAMENTO!$A:$D,2,FALSE)</f>
        <v>Jalisco</v>
      </c>
      <c r="G4" t="str">
        <f>VLOOKUP(VLOOKUP(VLOOKUP(VLOOKUP(VLOOKUP(A4,PEDIDO!$A:$L,11,FALSE),BARRIO!$A:$E,5,FALSE),MUNICIPIO!$A:$D,4,FALSE),DEPARTAMENTO!$A:$D,4,FALSE),PAIS!$A:$D,2,FALSE)</f>
        <v>México</v>
      </c>
      <c r="H4" t="str">
        <f>VLOOKUP(VLOOKUP(VLOOKUP(VLOOKUP(VLOOKUP(VLOOKUP(A4,PEDIDO!$A:$L,11,FALSE),BARRIO!$A:$E,5,FALSE),MUNICIPIO!$A:$D,4,FALSE),DEPARTAMENTO!$A:$D,4,FALSE),PAIS!$A:$D,4,FALSE),CONTINENTE!$A:$C,2,FALSE)</f>
        <v>América</v>
      </c>
      <c r="I4" t="str">
        <f>VLOOKUP(A4,PEDIDO!$A:$L,8,FALSE)</f>
        <v>En tránsito</v>
      </c>
      <c r="J4" t="str">
        <f>VLOOKUP(VLOOKUP(A4,PEDIDO!$A:$L,9,FALSE),CLIENTE!$A:$E,3,FALSE)</f>
        <v>Ana Rodríguez</v>
      </c>
      <c r="K4" t="str">
        <f>VLOOKUP(VLOOKUP(A4,PEDIDO!$A:$L,10,FALSE),TRANSPORTADORA!$A:$E,3,FALSE)</f>
        <v>Servientrega Global</v>
      </c>
      <c r="L4">
        <f>SUMIF(DETALLE_PRODUCTO!$B:$B,A4,DETALLE_PRODUCTO!$D:$D)</f>
        <v>3</v>
      </c>
      <c r="M4" s="14">
        <f>SUMIF(DETALLE_PRODUCTO!$B:$B,A4,DETALLE_PRODUCTO!$F:$F)</f>
        <v>4200</v>
      </c>
    </row>
    <row r="5" spans="1:13" x14ac:dyDescent="0.3">
      <c r="A5">
        <v>4</v>
      </c>
      <c r="B5" s="13" t="str">
        <f>VLOOKUP(A5,PEDIDO!$A:$L,2,FALSE)</f>
        <v>2026-02-06</v>
      </c>
      <c r="C5" t="str">
        <f>VLOOKUP(VLOOKUP(A5,PEDIDO!$A:$L,12,FALSE),MUNICIPIO!$A:$D,2,FALSE)</f>
        <v>Bogotá</v>
      </c>
      <c r="D5" t="str">
        <f>VLOOKUP(VLOOKUP(A5,PEDIDO!$A:$L,11,FALSE),BARRIO!$A:$E,2,FALSE)</f>
        <v>Sol</v>
      </c>
      <c r="E5" t="str">
        <f>VLOOKUP(VLOOKUP(VLOOKUP(A5,PEDIDO!$A:$L,11,FALSE),BARRIO!$A:$E,5,FALSE),MUNICIPIO!$A:$D,2,FALSE)</f>
        <v>Madrid</v>
      </c>
      <c r="F5" t="str">
        <f>VLOOKUP(VLOOKUP(VLOOKUP(VLOOKUP(A5,PEDIDO!$A:$L,11,FALSE),BARRIO!$A:$E,5,FALSE),MUNICIPIO!$A:$D,4,FALSE),DEPARTAMENTO!$A:$D,2,FALSE)</f>
        <v>Madrid</v>
      </c>
      <c r="G5" t="str">
        <f>VLOOKUP(VLOOKUP(VLOOKUP(VLOOKUP(VLOOKUP(A5,PEDIDO!$A:$L,11,FALSE),BARRIO!$A:$E,5,FALSE),MUNICIPIO!$A:$D,4,FALSE),DEPARTAMENTO!$A:$D,4,FALSE),PAIS!$A:$D,2,FALSE)</f>
        <v>España</v>
      </c>
      <c r="H5" t="str">
        <f>VLOOKUP(VLOOKUP(VLOOKUP(VLOOKUP(VLOOKUP(VLOOKUP(A5,PEDIDO!$A:$L,11,FALSE),BARRIO!$A:$E,5,FALSE),MUNICIPIO!$A:$D,4,FALSE),DEPARTAMENTO!$A:$D,4,FALSE),PAIS!$A:$D,4,FALSE),CONTINENTE!$A:$C,2,FALSE)</f>
        <v>Europa</v>
      </c>
      <c r="I5" t="str">
        <f>VLOOKUP(A5,PEDIDO!$A:$L,8,FALSE)</f>
        <v>En aduana</v>
      </c>
      <c r="J5" t="str">
        <f>VLOOKUP(VLOOKUP(A5,PEDIDO!$A:$L,9,FALSE),CLIENTE!$A:$E,3,FALSE)</f>
        <v>David Fernández</v>
      </c>
      <c r="K5" t="str">
        <f>VLOOKUP(VLOOKUP(A5,PEDIDO!$A:$L,10,FALSE),TRANSPORTADORA!$A:$E,3,FALSE)</f>
        <v>DHL Express</v>
      </c>
      <c r="L5">
        <f>SUMIF(DETALLE_PRODUCTO!$B:$B,A5,DETALLE_PRODUCTO!$D:$D)</f>
        <v>1</v>
      </c>
      <c r="M5" s="14">
        <f>SUMIF(DETALLE_PRODUCTO!$B:$B,A5,DETALLE_PRODUCTO!$F:$F)</f>
        <v>3500</v>
      </c>
    </row>
    <row r="6" spans="1:13" x14ac:dyDescent="0.3">
      <c r="A6">
        <v>5</v>
      </c>
      <c r="B6" s="13" t="str">
        <f>VLOOKUP(A6,PEDIDO!$A:$L,2,FALSE)</f>
        <v>2026-02-08</v>
      </c>
      <c r="C6" t="str">
        <f>VLOOKUP(VLOOKUP(A6,PEDIDO!$A:$L,12,FALSE),MUNICIPIO!$A:$D,2,FALSE)</f>
        <v>Bogotá</v>
      </c>
      <c r="D6" t="str">
        <f>VLOOKUP(VLOOKUP(A6,PEDIDO!$A:$L,11,FALSE),BARRIO!$A:$E,2,FALSE)</f>
        <v>Kabukicho</v>
      </c>
      <c r="E6" t="str">
        <f>VLOOKUP(VLOOKUP(VLOOKUP(A6,PEDIDO!$A:$L,11,FALSE),BARRIO!$A:$E,5,FALSE),MUNICIPIO!$A:$D,2,FALSE)</f>
        <v>Shinjuku</v>
      </c>
      <c r="F6" t="str">
        <f>VLOOKUP(VLOOKUP(VLOOKUP(VLOOKUP(A6,PEDIDO!$A:$L,11,FALSE),BARRIO!$A:$E,5,FALSE),MUNICIPIO!$A:$D,4,FALSE),DEPARTAMENTO!$A:$D,2,FALSE)</f>
        <v>Tokio</v>
      </c>
      <c r="G6" t="str">
        <f>VLOOKUP(VLOOKUP(VLOOKUP(VLOOKUP(VLOOKUP(A6,PEDIDO!$A:$L,11,FALSE),BARRIO!$A:$E,5,FALSE),MUNICIPIO!$A:$D,4,FALSE),DEPARTAMENTO!$A:$D,4,FALSE),PAIS!$A:$D,2,FALSE)</f>
        <v>Japón</v>
      </c>
      <c r="H6" t="str">
        <f>VLOOKUP(VLOOKUP(VLOOKUP(VLOOKUP(VLOOKUP(VLOOKUP(A6,PEDIDO!$A:$L,11,FALSE),BARRIO!$A:$E,5,FALSE),MUNICIPIO!$A:$D,4,FALSE),DEPARTAMENTO!$A:$D,4,FALSE),PAIS!$A:$D,4,FALSE),CONTINENTE!$A:$C,2,FALSE)</f>
        <v>Asia</v>
      </c>
      <c r="I6" t="str">
        <f>VLOOKUP(A6,PEDIDO!$A:$L,8,FALSE)</f>
        <v>Despachado</v>
      </c>
      <c r="J6" t="str">
        <f>VLOOKUP(VLOOKUP(A6,PEDIDO!$A:$L,9,FALSE),CLIENTE!$A:$E,3,FALSE)</f>
        <v>Sofía Torres</v>
      </c>
      <c r="K6" t="str">
        <f>VLOOKUP(VLOOKUP(A6,PEDIDO!$A:$L,10,FALSE),TRANSPORTADORA!$A:$E,3,FALSE)</f>
        <v>FedEx Cargo</v>
      </c>
      <c r="L6">
        <f>SUMIF(DETALLE_PRODUCTO!$B:$B,A6,DETALLE_PRODUCTO!$D:$D)</f>
        <v>2</v>
      </c>
      <c r="M6" s="14">
        <f>SUMIF(DETALLE_PRODUCTO!$B:$B,A6,DETALLE_PRODUCTO!$F:$F)</f>
        <v>3150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12" customWidth="1"/>
    <col min="3" max="3" width="23" customWidth="1"/>
  </cols>
  <sheetData>
    <row r="1" spans="1:3" ht="22.05" customHeight="1" x14ac:dyDescent="0.3">
      <c r="A1" s="15" t="s">
        <v>30</v>
      </c>
      <c r="B1" s="15" t="s">
        <v>31</v>
      </c>
      <c r="C1" s="15" t="s">
        <v>32</v>
      </c>
    </row>
    <row r="2" spans="1:3" x14ac:dyDescent="0.3">
      <c r="A2" s="2">
        <v>1</v>
      </c>
      <c r="B2" s="1" t="s">
        <v>33</v>
      </c>
      <c r="C2" s="1" t="s">
        <v>34</v>
      </c>
    </row>
    <row r="3" spans="1:3" x14ac:dyDescent="0.3">
      <c r="A3" s="2">
        <v>2</v>
      </c>
      <c r="B3" s="1" t="s">
        <v>35</v>
      </c>
      <c r="C3" s="1" t="s">
        <v>36</v>
      </c>
    </row>
    <row r="4" spans="1:3" x14ac:dyDescent="0.3">
      <c r="A4" s="2">
        <v>3</v>
      </c>
      <c r="B4" s="1" t="s">
        <v>37</v>
      </c>
      <c r="C4" s="1" t="s">
        <v>38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showGridLines="0" topLeftCell="AN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16" customWidth="1"/>
  </cols>
  <sheetData>
    <row r="1" spans="1:4" ht="22.05" customHeight="1" x14ac:dyDescent="0.3">
      <c r="A1" s="15" t="s">
        <v>39</v>
      </c>
      <c r="B1" s="15" t="s">
        <v>31</v>
      </c>
      <c r="C1" s="15" t="s">
        <v>32</v>
      </c>
      <c r="D1" s="15" t="s">
        <v>40</v>
      </c>
    </row>
    <row r="2" spans="1:4" x14ac:dyDescent="0.3">
      <c r="A2" s="2">
        <v>1</v>
      </c>
      <c r="B2" s="1" t="s">
        <v>41</v>
      </c>
      <c r="C2" s="1" t="s">
        <v>42</v>
      </c>
      <c r="D2" s="3">
        <v>1</v>
      </c>
    </row>
    <row r="3" spans="1:4" x14ac:dyDescent="0.3">
      <c r="A3" s="2">
        <v>2</v>
      </c>
      <c r="B3" s="1" t="s">
        <v>43</v>
      </c>
      <c r="C3" s="1" t="s">
        <v>44</v>
      </c>
      <c r="D3" s="3">
        <v>1</v>
      </c>
    </row>
    <row r="4" spans="1:4" x14ac:dyDescent="0.3">
      <c r="A4" s="2">
        <v>3</v>
      </c>
      <c r="B4" s="1" t="s">
        <v>45</v>
      </c>
      <c r="C4" s="1" t="s">
        <v>46</v>
      </c>
      <c r="D4" s="3">
        <v>2</v>
      </c>
    </row>
    <row r="5" spans="1:4" x14ac:dyDescent="0.3">
      <c r="A5" s="2">
        <v>4</v>
      </c>
      <c r="B5" s="1" t="s">
        <v>47</v>
      </c>
      <c r="C5" s="1" t="s">
        <v>48</v>
      </c>
      <c r="D5" s="3">
        <v>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15" customWidth="1"/>
    <col min="3" max="3" width="27" customWidth="1"/>
    <col min="4" max="4" width="12" customWidth="1"/>
  </cols>
  <sheetData>
    <row r="1" spans="1:4" ht="22.05" customHeight="1" x14ac:dyDescent="0.3">
      <c r="A1" s="15" t="s">
        <v>49</v>
      </c>
      <c r="B1" s="15" t="s">
        <v>31</v>
      </c>
      <c r="C1" s="15" t="s">
        <v>32</v>
      </c>
      <c r="D1" s="15" t="s">
        <v>50</v>
      </c>
    </row>
    <row r="2" spans="1:4" x14ac:dyDescent="0.3">
      <c r="A2" s="2">
        <v>1</v>
      </c>
      <c r="B2" s="1" t="s">
        <v>51</v>
      </c>
      <c r="C2" s="1" t="s">
        <v>52</v>
      </c>
      <c r="D2" s="3">
        <v>1</v>
      </c>
    </row>
    <row r="3" spans="1:4" x14ac:dyDescent="0.3">
      <c r="A3" s="2">
        <v>2</v>
      </c>
      <c r="B3" s="1" t="s">
        <v>53</v>
      </c>
      <c r="C3" s="1" t="s">
        <v>52</v>
      </c>
      <c r="D3" s="3">
        <v>1</v>
      </c>
    </row>
    <row r="4" spans="1:4" x14ac:dyDescent="0.3">
      <c r="A4" s="2">
        <v>3</v>
      </c>
      <c r="B4" s="1" t="s">
        <v>54</v>
      </c>
      <c r="C4" s="1" t="s">
        <v>52</v>
      </c>
      <c r="D4" s="3">
        <v>1</v>
      </c>
    </row>
    <row r="5" spans="1:4" x14ac:dyDescent="0.3">
      <c r="A5" s="2">
        <v>4</v>
      </c>
      <c r="B5" s="1" t="s">
        <v>55</v>
      </c>
      <c r="C5" s="1" t="s">
        <v>56</v>
      </c>
      <c r="D5" s="3">
        <v>2</v>
      </c>
    </row>
    <row r="6" spans="1:4" x14ac:dyDescent="0.3">
      <c r="A6" s="2">
        <v>5</v>
      </c>
      <c r="B6" s="1" t="s">
        <v>57</v>
      </c>
      <c r="C6" s="1" t="s">
        <v>58</v>
      </c>
      <c r="D6" s="3">
        <v>3</v>
      </c>
    </row>
    <row r="7" spans="1:4" x14ac:dyDescent="0.3">
      <c r="A7" s="2">
        <v>6</v>
      </c>
      <c r="B7" s="1" t="s">
        <v>59</v>
      </c>
      <c r="C7" s="1" t="s">
        <v>60</v>
      </c>
      <c r="D7" s="3">
        <v>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14" customWidth="1"/>
    <col min="3" max="3" width="25" customWidth="1"/>
    <col min="4" max="4" width="18" customWidth="1"/>
  </cols>
  <sheetData>
    <row r="1" spans="1:4" ht="22.05" customHeight="1" x14ac:dyDescent="0.3">
      <c r="A1" s="15" t="s">
        <v>61</v>
      </c>
      <c r="B1" s="15" t="s">
        <v>31</v>
      </c>
      <c r="C1" s="15" t="s">
        <v>32</v>
      </c>
      <c r="D1" s="15" t="s">
        <v>62</v>
      </c>
    </row>
    <row r="2" spans="1:4" x14ac:dyDescent="0.3">
      <c r="A2" s="2">
        <v>1</v>
      </c>
      <c r="B2" s="1" t="s">
        <v>63</v>
      </c>
      <c r="C2" s="1" t="s">
        <v>64</v>
      </c>
      <c r="D2" s="3">
        <v>1</v>
      </c>
    </row>
    <row r="3" spans="1:4" x14ac:dyDescent="0.3">
      <c r="A3" s="2">
        <v>2</v>
      </c>
      <c r="B3" s="1" t="s">
        <v>65</v>
      </c>
      <c r="C3" s="1" t="s">
        <v>66</v>
      </c>
      <c r="D3" s="3">
        <v>2</v>
      </c>
    </row>
    <row r="4" spans="1:4" x14ac:dyDescent="0.3">
      <c r="A4" s="2">
        <v>3</v>
      </c>
      <c r="B4" s="1" t="s">
        <v>67</v>
      </c>
      <c r="C4" s="1" t="s">
        <v>68</v>
      </c>
      <c r="D4" s="3">
        <v>3</v>
      </c>
    </row>
    <row r="5" spans="1:4" x14ac:dyDescent="0.3">
      <c r="A5" s="2">
        <v>4</v>
      </c>
      <c r="B5" s="1" t="s">
        <v>69</v>
      </c>
      <c r="C5" s="1" t="s">
        <v>70</v>
      </c>
      <c r="D5" s="3">
        <v>4</v>
      </c>
    </row>
    <row r="6" spans="1:4" x14ac:dyDescent="0.3">
      <c r="A6" s="2">
        <v>5</v>
      </c>
      <c r="B6" s="1" t="s">
        <v>57</v>
      </c>
      <c r="C6" s="1" t="s">
        <v>71</v>
      </c>
      <c r="D6" s="3">
        <v>5</v>
      </c>
    </row>
    <row r="7" spans="1:4" x14ac:dyDescent="0.3">
      <c r="A7" s="2">
        <v>6</v>
      </c>
      <c r="B7" s="1" t="s">
        <v>72</v>
      </c>
      <c r="C7" s="1" t="s">
        <v>73</v>
      </c>
      <c r="D7" s="3">
        <v>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16" customWidth="1"/>
    <col min="5" max="5" width="15" customWidth="1"/>
  </cols>
  <sheetData>
    <row r="1" spans="1:5" ht="22.05" customHeight="1" x14ac:dyDescent="0.3">
      <c r="A1" s="15" t="s">
        <v>74</v>
      </c>
      <c r="B1" s="15" t="s">
        <v>31</v>
      </c>
      <c r="C1" s="15" t="s">
        <v>32</v>
      </c>
      <c r="D1" s="15" t="s">
        <v>75</v>
      </c>
      <c r="E1" s="15" t="s">
        <v>76</v>
      </c>
    </row>
    <row r="2" spans="1:5" x14ac:dyDescent="0.3">
      <c r="A2" s="2">
        <v>1</v>
      </c>
      <c r="B2" s="1" t="s">
        <v>77</v>
      </c>
      <c r="C2" s="1" t="s">
        <v>78</v>
      </c>
      <c r="D2" s="1" t="s">
        <v>79</v>
      </c>
      <c r="E2" s="3">
        <v>1</v>
      </c>
    </row>
    <row r="3" spans="1:5" x14ac:dyDescent="0.3">
      <c r="A3" s="2">
        <v>2</v>
      </c>
      <c r="B3" s="1" t="s">
        <v>80</v>
      </c>
      <c r="C3" s="1" t="s">
        <v>81</v>
      </c>
      <c r="D3" s="1" t="s">
        <v>82</v>
      </c>
      <c r="E3" s="3">
        <v>2</v>
      </c>
    </row>
    <row r="4" spans="1:5" x14ac:dyDescent="0.3">
      <c r="A4" s="2">
        <v>3</v>
      </c>
      <c r="B4" s="1" t="s">
        <v>83</v>
      </c>
      <c r="C4" s="1" t="s">
        <v>84</v>
      </c>
      <c r="D4" s="1" t="s">
        <v>85</v>
      </c>
      <c r="E4" s="3">
        <v>3</v>
      </c>
    </row>
    <row r="5" spans="1:5" x14ac:dyDescent="0.3">
      <c r="A5" s="2">
        <v>4</v>
      </c>
      <c r="B5" s="1" t="s">
        <v>86</v>
      </c>
      <c r="C5" s="1" t="s">
        <v>87</v>
      </c>
      <c r="D5" s="1" t="s">
        <v>88</v>
      </c>
      <c r="E5" s="3">
        <v>4</v>
      </c>
    </row>
    <row r="6" spans="1:5" x14ac:dyDescent="0.3">
      <c r="A6" s="2">
        <v>5</v>
      </c>
      <c r="B6" s="1" t="s">
        <v>89</v>
      </c>
      <c r="C6" s="1" t="s">
        <v>90</v>
      </c>
      <c r="D6" s="1" t="s">
        <v>91</v>
      </c>
      <c r="E6" s="3">
        <v>5</v>
      </c>
    </row>
    <row r="7" spans="1:5" x14ac:dyDescent="0.3">
      <c r="A7" s="2">
        <v>6</v>
      </c>
      <c r="B7" s="1" t="s">
        <v>92</v>
      </c>
      <c r="C7" s="1" t="s">
        <v>93</v>
      </c>
      <c r="D7" s="1" t="s">
        <v>94</v>
      </c>
      <c r="E7" s="3">
        <v>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7" customWidth="1"/>
    <col min="3" max="3" width="30" customWidth="1"/>
    <col min="4" max="4" width="12" customWidth="1"/>
  </cols>
  <sheetData>
    <row r="1" spans="1:4" ht="22.05" customHeight="1" x14ac:dyDescent="0.3">
      <c r="A1" s="15" t="s">
        <v>95</v>
      </c>
      <c r="B1" s="15" t="s">
        <v>31</v>
      </c>
      <c r="C1" s="15" t="s">
        <v>32</v>
      </c>
      <c r="D1" s="15" t="s">
        <v>96</v>
      </c>
    </row>
    <row r="2" spans="1:4" x14ac:dyDescent="0.3">
      <c r="A2" s="2">
        <v>1</v>
      </c>
      <c r="B2" s="1" t="s">
        <v>97</v>
      </c>
      <c r="C2" s="1" t="s">
        <v>98</v>
      </c>
      <c r="D2" s="16">
        <v>3500</v>
      </c>
    </row>
    <row r="3" spans="1:4" x14ac:dyDescent="0.3">
      <c r="A3" s="2">
        <v>2</v>
      </c>
      <c r="B3" s="1" t="s">
        <v>99</v>
      </c>
      <c r="C3" s="1" t="s">
        <v>100</v>
      </c>
      <c r="D3" s="16">
        <v>2200</v>
      </c>
    </row>
    <row r="4" spans="1:4" x14ac:dyDescent="0.3">
      <c r="A4" s="2">
        <v>3</v>
      </c>
      <c r="B4" s="1" t="s">
        <v>101</v>
      </c>
      <c r="C4" s="1" t="s">
        <v>102</v>
      </c>
      <c r="D4" s="16">
        <v>1200</v>
      </c>
    </row>
    <row r="5" spans="1:4" x14ac:dyDescent="0.3">
      <c r="A5" s="2">
        <v>4</v>
      </c>
      <c r="B5" s="1" t="s">
        <v>103</v>
      </c>
      <c r="C5" s="1" t="s">
        <v>104</v>
      </c>
      <c r="D5" s="16">
        <v>1800</v>
      </c>
    </row>
    <row r="6" spans="1:4" x14ac:dyDescent="0.3">
      <c r="A6" s="2">
        <v>5</v>
      </c>
      <c r="B6" s="1" t="s">
        <v>105</v>
      </c>
      <c r="C6" s="1" t="s">
        <v>106</v>
      </c>
      <c r="D6" s="16">
        <v>950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showGridLines="0" tabSelected="1" workbookViewId="0">
      <pane ySplit="1" topLeftCell="A2" activePane="bottomLeft" state="frozen"/>
      <selection pane="bottomLeft" activeCell="B15" sqref="B15"/>
    </sheetView>
  </sheetViews>
  <sheetFormatPr baseColWidth="10" defaultColWidth="8.88671875" defaultRowHeight="14.4" x14ac:dyDescent="0.3"/>
  <cols>
    <col min="1" max="1" width="13" customWidth="1"/>
    <col min="2" max="2" width="19" customWidth="1"/>
    <col min="3" max="3" width="18" customWidth="1"/>
    <col min="4" max="4" width="19" customWidth="1"/>
    <col min="5" max="5" width="13" customWidth="1"/>
  </cols>
  <sheetData>
    <row r="1" spans="1:5" ht="22.05" customHeight="1" x14ac:dyDescent="0.3">
      <c r="A1" s="15" t="s">
        <v>107</v>
      </c>
      <c r="B1" s="15" t="s">
        <v>108</v>
      </c>
      <c r="C1" s="15" t="s">
        <v>31</v>
      </c>
      <c r="D1" s="15" t="s">
        <v>109</v>
      </c>
      <c r="E1" s="15" t="s">
        <v>110</v>
      </c>
    </row>
    <row r="2" spans="1:5" x14ac:dyDescent="0.3">
      <c r="A2" s="2">
        <v>1</v>
      </c>
      <c r="B2" s="1" t="s">
        <v>111</v>
      </c>
      <c r="C2" s="1" t="s">
        <v>112</v>
      </c>
      <c r="D2" s="1" t="s">
        <v>113</v>
      </c>
      <c r="E2" s="1" t="s">
        <v>114</v>
      </c>
    </row>
    <row r="3" spans="1:5" x14ac:dyDescent="0.3">
      <c r="A3" s="2">
        <v>2</v>
      </c>
      <c r="B3" s="1" t="s">
        <v>115</v>
      </c>
      <c r="C3" s="1" t="s">
        <v>116</v>
      </c>
      <c r="D3" s="1" t="s">
        <v>117</v>
      </c>
      <c r="E3" s="1" t="s">
        <v>118</v>
      </c>
    </row>
    <row r="4" spans="1:5" x14ac:dyDescent="0.3">
      <c r="A4" s="2">
        <v>3</v>
      </c>
      <c r="B4" s="1" t="s">
        <v>119</v>
      </c>
      <c r="C4" s="1" t="s">
        <v>120</v>
      </c>
      <c r="D4" s="1" t="s">
        <v>121</v>
      </c>
      <c r="E4" s="1" t="s">
        <v>122</v>
      </c>
    </row>
    <row r="5" spans="1:5" x14ac:dyDescent="0.3">
      <c r="A5" s="2">
        <v>4</v>
      </c>
      <c r="B5" s="1" t="s">
        <v>123</v>
      </c>
      <c r="C5" s="1" t="s">
        <v>124</v>
      </c>
      <c r="D5" s="1" t="s">
        <v>125</v>
      </c>
      <c r="E5" s="1" t="s">
        <v>126</v>
      </c>
    </row>
    <row r="6" spans="1:5" x14ac:dyDescent="0.3">
      <c r="A6" s="2">
        <v>5</v>
      </c>
      <c r="B6" s="1" t="s">
        <v>127</v>
      </c>
      <c r="C6" s="1" t="s">
        <v>128</v>
      </c>
      <c r="D6" s="1" t="s">
        <v>129</v>
      </c>
      <c r="E6" s="1" t="s">
        <v>130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12" customWidth="1"/>
    <col min="3" max="3" width="22" customWidth="1"/>
    <col min="4" max="4" width="24" customWidth="1"/>
    <col min="5" max="5" width="13" customWidth="1"/>
  </cols>
  <sheetData>
    <row r="1" spans="1:5" ht="22.05" customHeight="1" x14ac:dyDescent="0.3">
      <c r="A1" s="15" t="s">
        <v>131</v>
      </c>
      <c r="B1" s="15" t="s">
        <v>132</v>
      </c>
      <c r="C1" s="15" t="s">
        <v>31</v>
      </c>
      <c r="D1" s="15" t="s">
        <v>109</v>
      </c>
      <c r="E1" s="15" t="s">
        <v>110</v>
      </c>
    </row>
    <row r="2" spans="1:5" x14ac:dyDescent="0.3">
      <c r="A2" s="2">
        <v>1</v>
      </c>
      <c r="B2" s="1" t="s">
        <v>133</v>
      </c>
      <c r="C2" s="1" t="s">
        <v>134</v>
      </c>
      <c r="D2" s="1" t="s">
        <v>135</v>
      </c>
      <c r="E2" s="1" t="s">
        <v>136</v>
      </c>
    </row>
    <row r="3" spans="1:5" x14ac:dyDescent="0.3">
      <c r="A3" s="2">
        <v>2</v>
      </c>
      <c r="B3" s="1" t="s">
        <v>137</v>
      </c>
      <c r="C3" s="1" t="s">
        <v>138</v>
      </c>
      <c r="D3" s="1" t="s">
        <v>139</v>
      </c>
      <c r="E3" s="1" t="s">
        <v>140</v>
      </c>
    </row>
    <row r="4" spans="1:5" x14ac:dyDescent="0.3">
      <c r="A4" s="2">
        <v>3</v>
      </c>
      <c r="B4" s="1" t="s">
        <v>141</v>
      </c>
      <c r="C4" s="1" t="s">
        <v>142</v>
      </c>
      <c r="D4" s="1" t="s">
        <v>143</v>
      </c>
      <c r="E4" s="1" t="s">
        <v>144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5" customWidth="1"/>
    <col min="3" max="3" width="23" customWidth="1"/>
    <col min="4" max="4" width="21" customWidth="1"/>
    <col min="5" max="5" width="17" customWidth="1"/>
    <col min="6" max="6" width="25" customWidth="1"/>
    <col min="7" max="7" width="21" customWidth="1"/>
    <col min="8" max="8" width="16" customWidth="1"/>
    <col min="9" max="9" width="13" customWidth="1"/>
    <col min="10" max="11" width="20" customWidth="1"/>
    <col min="12" max="12" width="22" customWidth="1"/>
  </cols>
  <sheetData>
    <row r="1" spans="1:12" ht="22.05" customHeight="1" x14ac:dyDescent="0.3">
      <c r="A1" s="15" t="s">
        <v>17</v>
      </c>
      <c r="B1" s="15" t="s">
        <v>18</v>
      </c>
      <c r="C1" s="15" t="s">
        <v>145</v>
      </c>
      <c r="D1" s="15" t="s">
        <v>146</v>
      </c>
      <c r="E1" s="15" t="s">
        <v>147</v>
      </c>
      <c r="F1" s="15" t="s">
        <v>148</v>
      </c>
      <c r="G1" s="15" t="s">
        <v>149</v>
      </c>
      <c r="H1" s="15" t="s">
        <v>25</v>
      </c>
      <c r="I1" s="15" t="s">
        <v>150</v>
      </c>
      <c r="J1" s="15" t="s">
        <v>151</v>
      </c>
      <c r="K1" s="15" t="s">
        <v>152</v>
      </c>
      <c r="L1" s="15" t="s">
        <v>153</v>
      </c>
    </row>
    <row r="2" spans="1:12" x14ac:dyDescent="0.3">
      <c r="A2" s="2">
        <v>1</v>
      </c>
      <c r="B2" s="17" t="s">
        <v>154</v>
      </c>
      <c r="C2" s="1" t="s">
        <v>155</v>
      </c>
      <c r="D2" s="1" t="s">
        <v>156</v>
      </c>
      <c r="E2" s="18" t="s">
        <v>157</v>
      </c>
      <c r="F2" s="18" t="s">
        <v>158</v>
      </c>
      <c r="G2" s="18" t="s">
        <v>159</v>
      </c>
      <c r="H2" s="3" t="s">
        <v>160</v>
      </c>
      <c r="I2" s="3">
        <v>1</v>
      </c>
      <c r="J2" s="3">
        <v>1</v>
      </c>
      <c r="K2" s="3">
        <v>2</v>
      </c>
      <c r="L2" s="3">
        <v>1</v>
      </c>
    </row>
    <row r="3" spans="1:12" x14ac:dyDescent="0.3">
      <c r="A3" s="2">
        <v>2</v>
      </c>
      <c r="B3" s="17" t="s">
        <v>161</v>
      </c>
      <c r="C3" s="1" t="s">
        <v>162</v>
      </c>
      <c r="D3" s="1" t="s">
        <v>163</v>
      </c>
      <c r="E3" s="18" t="s">
        <v>164</v>
      </c>
      <c r="F3" s="18" t="s">
        <v>165</v>
      </c>
      <c r="G3" s="18" t="s">
        <v>165</v>
      </c>
      <c r="H3" s="3" t="s">
        <v>160</v>
      </c>
      <c r="I3" s="3">
        <v>2</v>
      </c>
      <c r="J3" s="3">
        <v>2</v>
      </c>
      <c r="K3" s="3">
        <v>3</v>
      </c>
      <c r="L3" s="3">
        <v>1</v>
      </c>
    </row>
    <row r="4" spans="1:12" x14ac:dyDescent="0.3">
      <c r="A4" s="2">
        <v>3</v>
      </c>
      <c r="B4" s="17" t="s">
        <v>159</v>
      </c>
      <c r="C4" s="1" t="s">
        <v>166</v>
      </c>
      <c r="D4" s="1" t="s">
        <v>167</v>
      </c>
      <c r="E4" s="18" t="s">
        <v>158</v>
      </c>
      <c r="F4" s="18" t="s">
        <v>168</v>
      </c>
      <c r="G4" s="18"/>
      <c r="H4" s="3" t="s">
        <v>169</v>
      </c>
      <c r="I4" s="3">
        <v>3</v>
      </c>
      <c r="J4" s="3">
        <v>3</v>
      </c>
      <c r="K4" s="3">
        <v>4</v>
      </c>
      <c r="L4" s="3">
        <v>2</v>
      </c>
    </row>
    <row r="5" spans="1:12" x14ac:dyDescent="0.3">
      <c r="A5" s="2">
        <v>4</v>
      </c>
      <c r="B5" s="17" t="s">
        <v>158</v>
      </c>
      <c r="C5" s="1" t="s">
        <v>170</v>
      </c>
      <c r="D5" s="1" t="s">
        <v>171</v>
      </c>
      <c r="E5" s="18" t="s">
        <v>172</v>
      </c>
      <c r="F5" s="18" t="s">
        <v>173</v>
      </c>
      <c r="G5" s="18"/>
      <c r="H5" s="3" t="s">
        <v>174</v>
      </c>
      <c r="I5" s="3">
        <v>4</v>
      </c>
      <c r="J5" s="3">
        <v>1</v>
      </c>
      <c r="K5" s="3">
        <v>5</v>
      </c>
      <c r="L5" s="3">
        <v>1</v>
      </c>
    </row>
    <row r="6" spans="1:12" x14ac:dyDescent="0.3">
      <c r="A6" s="2">
        <v>5</v>
      </c>
      <c r="B6" s="17" t="s">
        <v>165</v>
      </c>
      <c r="C6" s="1" t="s">
        <v>175</v>
      </c>
      <c r="D6" s="1" t="s">
        <v>176</v>
      </c>
      <c r="E6" s="18" t="s">
        <v>177</v>
      </c>
      <c r="F6" s="18" t="s">
        <v>178</v>
      </c>
      <c r="G6" s="18"/>
      <c r="H6" s="3" t="s">
        <v>179</v>
      </c>
      <c r="I6" s="3">
        <v>5</v>
      </c>
      <c r="J6" s="3">
        <v>2</v>
      </c>
      <c r="K6" s="3">
        <v>6</v>
      </c>
      <c r="L6" s="3">
        <v>1</v>
      </c>
    </row>
  </sheetData>
  <conditionalFormatting sqref="H2:H6">
    <cfRule type="expression" dxfId="3" priority="1">
      <formula>$H2="Entregado"</formula>
    </cfRule>
    <cfRule type="expression" dxfId="2" priority="2">
      <formula>$H2="En tránsito"</formula>
    </cfRule>
    <cfRule type="expression" dxfId="1" priority="3">
      <formula>$H2="Despachado"</formula>
    </cfRule>
    <cfRule type="expression" dxfId="0" priority="4">
      <formula>$H2="En aduana"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14" customWidth="1"/>
    <col min="4" max="4" width="12" customWidth="1"/>
    <col min="5" max="5" width="18" customWidth="1"/>
    <col min="6" max="6" width="12" customWidth="1"/>
  </cols>
  <sheetData>
    <row r="1" spans="1:6" ht="22.05" customHeight="1" x14ac:dyDescent="0.3">
      <c r="A1" s="15" t="s">
        <v>180</v>
      </c>
      <c r="B1" s="15" t="s">
        <v>181</v>
      </c>
      <c r="C1" s="15" t="s">
        <v>182</v>
      </c>
      <c r="D1" s="15" t="s">
        <v>183</v>
      </c>
      <c r="E1" s="15" t="s">
        <v>184</v>
      </c>
      <c r="F1" s="15" t="s">
        <v>185</v>
      </c>
    </row>
    <row r="2" spans="1:6" x14ac:dyDescent="0.3">
      <c r="A2" s="2">
        <v>1</v>
      </c>
      <c r="B2" s="3">
        <v>1</v>
      </c>
      <c r="C2" s="3">
        <v>1</v>
      </c>
      <c r="D2" s="3">
        <v>1</v>
      </c>
      <c r="E2" s="16">
        <v>3500</v>
      </c>
      <c r="F2" s="16">
        <f t="shared" ref="F2:F10" si="0">D2*E2</f>
        <v>3500</v>
      </c>
    </row>
    <row r="3" spans="1:6" x14ac:dyDescent="0.3">
      <c r="A3" s="2">
        <v>2</v>
      </c>
      <c r="B3" s="3">
        <v>1</v>
      </c>
      <c r="C3" s="3">
        <v>3</v>
      </c>
      <c r="D3" s="3">
        <v>1</v>
      </c>
      <c r="E3" s="16">
        <v>1200</v>
      </c>
      <c r="F3" s="16">
        <f t="shared" si="0"/>
        <v>1200</v>
      </c>
    </row>
    <row r="4" spans="1:6" x14ac:dyDescent="0.3">
      <c r="A4" s="2">
        <v>3</v>
      </c>
      <c r="B4" s="3">
        <v>2</v>
      </c>
      <c r="C4" s="3">
        <v>2</v>
      </c>
      <c r="D4" s="3">
        <v>1</v>
      </c>
      <c r="E4" s="16">
        <v>2200</v>
      </c>
      <c r="F4" s="16">
        <f t="shared" si="0"/>
        <v>2200</v>
      </c>
    </row>
    <row r="5" spans="1:6" x14ac:dyDescent="0.3">
      <c r="A5" s="2">
        <v>4</v>
      </c>
      <c r="B5" s="3">
        <v>2</v>
      </c>
      <c r="C5" s="3">
        <v>5</v>
      </c>
      <c r="D5" s="3">
        <v>2</v>
      </c>
      <c r="E5" s="16">
        <v>950</v>
      </c>
      <c r="F5" s="16">
        <f t="shared" si="0"/>
        <v>1900</v>
      </c>
    </row>
    <row r="6" spans="1:6" x14ac:dyDescent="0.3">
      <c r="A6" s="2">
        <v>5</v>
      </c>
      <c r="B6" s="3">
        <v>3</v>
      </c>
      <c r="C6" s="3">
        <v>4</v>
      </c>
      <c r="D6" s="3">
        <v>1</v>
      </c>
      <c r="E6" s="16">
        <v>1800</v>
      </c>
      <c r="F6" s="16">
        <f t="shared" si="0"/>
        <v>1800</v>
      </c>
    </row>
    <row r="7" spans="1:6" x14ac:dyDescent="0.3">
      <c r="A7" s="2">
        <v>6</v>
      </c>
      <c r="B7" s="3">
        <v>3</v>
      </c>
      <c r="C7" s="3">
        <v>3</v>
      </c>
      <c r="D7" s="3">
        <v>2</v>
      </c>
      <c r="E7" s="16">
        <v>1200</v>
      </c>
      <c r="F7" s="16">
        <f t="shared" si="0"/>
        <v>2400</v>
      </c>
    </row>
    <row r="8" spans="1:6" x14ac:dyDescent="0.3">
      <c r="A8" s="2">
        <v>7</v>
      </c>
      <c r="B8" s="3">
        <v>4</v>
      </c>
      <c r="C8" s="3">
        <v>1</v>
      </c>
      <c r="D8" s="3">
        <v>1</v>
      </c>
      <c r="E8" s="16">
        <v>3500</v>
      </c>
      <c r="F8" s="16">
        <f t="shared" si="0"/>
        <v>3500</v>
      </c>
    </row>
    <row r="9" spans="1:6" x14ac:dyDescent="0.3">
      <c r="A9" s="2">
        <v>8</v>
      </c>
      <c r="B9" s="3">
        <v>5</v>
      </c>
      <c r="C9" s="3">
        <v>2</v>
      </c>
      <c r="D9" s="3">
        <v>1</v>
      </c>
      <c r="E9" s="16">
        <v>2200</v>
      </c>
      <c r="F9" s="16">
        <f t="shared" si="0"/>
        <v>2200</v>
      </c>
    </row>
    <row r="10" spans="1:6" x14ac:dyDescent="0.3">
      <c r="A10" s="2">
        <v>9</v>
      </c>
      <c r="B10" s="3">
        <v>5</v>
      </c>
      <c r="C10" s="3">
        <v>5</v>
      </c>
      <c r="D10" s="3">
        <v>1</v>
      </c>
      <c r="E10" s="16">
        <v>950</v>
      </c>
      <c r="F10" s="16">
        <f t="shared" si="0"/>
        <v>950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5" customWidth="1"/>
    <col min="2" max="2" width="12" customWidth="1"/>
    <col min="3" max="3" width="19" customWidth="1"/>
    <col min="4" max="4" width="18" customWidth="1"/>
    <col min="5" max="5" width="30" customWidth="1"/>
    <col min="6" max="8" width="12" customWidth="1"/>
  </cols>
  <sheetData>
    <row r="1" spans="1:8" ht="22.05" customHeight="1" x14ac:dyDescent="0.3">
      <c r="A1" s="15" t="s">
        <v>186</v>
      </c>
      <c r="B1" s="15" t="s">
        <v>181</v>
      </c>
      <c r="C1" s="15" t="s">
        <v>187</v>
      </c>
      <c r="D1" s="15" t="s">
        <v>188</v>
      </c>
      <c r="E1" s="15" t="s">
        <v>32</v>
      </c>
      <c r="F1" s="15" t="s">
        <v>189</v>
      </c>
      <c r="G1" s="15" t="s">
        <v>190</v>
      </c>
      <c r="H1" s="15" t="s">
        <v>191</v>
      </c>
    </row>
    <row r="2" spans="1:8" x14ac:dyDescent="0.3">
      <c r="A2" s="2">
        <v>1</v>
      </c>
      <c r="B2" s="3">
        <v>1</v>
      </c>
      <c r="C2" s="19" t="s">
        <v>192</v>
      </c>
      <c r="D2" s="1" t="s">
        <v>193</v>
      </c>
      <c r="E2" s="1" t="s">
        <v>194</v>
      </c>
      <c r="F2" s="4">
        <v>4.7110000000000003</v>
      </c>
      <c r="G2" s="4">
        <v>-74.072100000000006</v>
      </c>
      <c r="H2" s="3">
        <v>1</v>
      </c>
    </row>
    <row r="3" spans="1:8" x14ac:dyDescent="0.3">
      <c r="A3" s="2">
        <v>2</v>
      </c>
      <c r="B3" s="3">
        <v>1</v>
      </c>
      <c r="C3" s="19" t="s">
        <v>195</v>
      </c>
      <c r="D3" s="1" t="s">
        <v>179</v>
      </c>
      <c r="E3" s="1" t="s">
        <v>196</v>
      </c>
      <c r="F3" s="4">
        <v>4.7110000000000003</v>
      </c>
      <c r="G3" s="4">
        <v>-74.072100000000006</v>
      </c>
      <c r="H3" s="3">
        <v>1</v>
      </c>
    </row>
    <row r="4" spans="1:8" x14ac:dyDescent="0.3">
      <c r="A4" s="2">
        <v>3</v>
      </c>
      <c r="B4" s="3">
        <v>1</v>
      </c>
      <c r="C4" s="19" t="s">
        <v>197</v>
      </c>
      <c r="D4" s="1" t="s">
        <v>169</v>
      </c>
      <c r="E4" s="1" t="s">
        <v>198</v>
      </c>
      <c r="F4" s="4">
        <v>6.2442000000000002</v>
      </c>
      <c r="G4" s="4">
        <v>-75.581199999999995</v>
      </c>
      <c r="H4" s="3">
        <v>2</v>
      </c>
    </row>
    <row r="5" spans="1:8" x14ac:dyDescent="0.3">
      <c r="A5" s="2">
        <v>4</v>
      </c>
      <c r="B5" s="3">
        <v>1</v>
      </c>
      <c r="C5" s="19" t="s">
        <v>199</v>
      </c>
      <c r="D5" s="1" t="s">
        <v>160</v>
      </c>
      <c r="E5" s="1" t="s">
        <v>200</v>
      </c>
      <c r="F5" s="4">
        <v>6.2442000000000002</v>
      </c>
      <c r="G5" s="4">
        <v>-75.581199999999995</v>
      </c>
      <c r="H5" s="3">
        <v>2</v>
      </c>
    </row>
    <row r="6" spans="1:8" x14ac:dyDescent="0.3">
      <c r="A6" s="2">
        <v>5</v>
      </c>
      <c r="B6" s="3">
        <v>2</v>
      </c>
      <c r="C6" s="19" t="s">
        <v>201</v>
      </c>
      <c r="D6" s="1" t="s">
        <v>193</v>
      </c>
      <c r="E6" s="1" t="s">
        <v>202</v>
      </c>
      <c r="F6" s="4">
        <v>4.7110000000000003</v>
      </c>
      <c r="G6" s="4">
        <v>-74.072100000000006</v>
      </c>
      <c r="H6" s="3">
        <v>1</v>
      </c>
    </row>
    <row r="7" spans="1:8" x14ac:dyDescent="0.3">
      <c r="A7" s="2">
        <v>6</v>
      </c>
      <c r="B7" s="3">
        <v>2</v>
      </c>
      <c r="C7" s="19" t="s">
        <v>203</v>
      </c>
      <c r="D7" s="1" t="s">
        <v>179</v>
      </c>
      <c r="E7" s="1" t="s">
        <v>204</v>
      </c>
      <c r="F7" s="4">
        <v>4.7110000000000003</v>
      </c>
      <c r="G7" s="4">
        <v>-74.072100000000006</v>
      </c>
      <c r="H7" s="3">
        <v>1</v>
      </c>
    </row>
    <row r="8" spans="1:8" x14ac:dyDescent="0.3">
      <c r="A8" s="2">
        <v>7</v>
      </c>
      <c r="B8" s="3">
        <v>2</v>
      </c>
      <c r="C8" s="19" t="s">
        <v>205</v>
      </c>
      <c r="D8" s="1" t="s">
        <v>160</v>
      </c>
      <c r="E8" s="1" t="s">
        <v>206</v>
      </c>
      <c r="F8" s="4">
        <v>2.9386000000000001</v>
      </c>
      <c r="G8" s="4">
        <v>-75.281099999999995</v>
      </c>
      <c r="H8" s="3">
        <v>3</v>
      </c>
    </row>
    <row r="9" spans="1:8" x14ac:dyDescent="0.3">
      <c r="A9" s="2">
        <v>8</v>
      </c>
      <c r="B9" s="3">
        <v>3</v>
      </c>
      <c r="C9" s="19" t="s">
        <v>207</v>
      </c>
      <c r="D9" s="1" t="s">
        <v>179</v>
      </c>
      <c r="E9" s="1" t="s">
        <v>208</v>
      </c>
      <c r="F9" s="4">
        <v>6.2442000000000002</v>
      </c>
      <c r="G9" s="4">
        <v>-75.581199999999995</v>
      </c>
      <c r="H9" s="3">
        <v>2</v>
      </c>
    </row>
    <row r="10" spans="1:8" x14ac:dyDescent="0.3">
      <c r="A10" s="2">
        <v>9</v>
      </c>
      <c r="B10" s="3">
        <v>3</v>
      </c>
      <c r="C10" s="19" t="s">
        <v>209</v>
      </c>
      <c r="D10" s="1" t="s">
        <v>169</v>
      </c>
      <c r="E10" s="1" t="s">
        <v>210</v>
      </c>
      <c r="F10" s="4">
        <v>20.659700000000001</v>
      </c>
      <c r="G10" s="4">
        <v>-103.3496</v>
      </c>
      <c r="H10" s="3">
        <v>4</v>
      </c>
    </row>
    <row r="11" spans="1:8" x14ac:dyDescent="0.3">
      <c r="A11" s="2">
        <v>10</v>
      </c>
      <c r="B11" s="3">
        <v>4</v>
      </c>
      <c r="C11" s="19" t="s">
        <v>211</v>
      </c>
      <c r="D11" s="1" t="s">
        <v>179</v>
      </c>
      <c r="E11" s="1" t="s">
        <v>212</v>
      </c>
      <c r="F11" s="4">
        <v>4.7110000000000003</v>
      </c>
      <c r="G11" s="4">
        <v>-74.072100000000006</v>
      </c>
      <c r="H11" s="3">
        <v>1</v>
      </c>
    </row>
    <row r="12" spans="1:8" x14ac:dyDescent="0.3">
      <c r="A12" s="2">
        <v>11</v>
      </c>
      <c r="B12" s="3">
        <v>4</v>
      </c>
      <c r="C12" s="19" t="s">
        <v>213</v>
      </c>
      <c r="D12" s="1" t="s">
        <v>174</v>
      </c>
      <c r="E12" s="1" t="s">
        <v>214</v>
      </c>
      <c r="F12" s="4">
        <v>40.416800000000002</v>
      </c>
      <c r="G12" s="4">
        <v>-3.7038000000000002</v>
      </c>
      <c r="H12" s="3">
        <v>5</v>
      </c>
    </row>
    <row r="13" spans="1:8" x14ac:dyDescent="0.3">
      <c r="A13" s="2">
        <v>12</v>
      </c>
      <c r="B13" s="3">
        <v>5</v>
      </c>
      <c r="C13" s="19" t="s">
        <v>215</v>
      </c>
      <c r="D13" s="1" t="s">
        <v>179</v>
      </c>
      <c r="E13" s="1" t="s">
        <v>216</v>
      </c>
      <c r="F13" s="4">
        <v>4.7110000000000003</v>
      </c>
      <c r="G13" s="4">
        <v>-74.072100000000006</v>
      </c>
      <c r="H13" s="3">
        <v>1</v>
      </c>
    </row>
    <row r="14" spans="1:8" x14ac:dyDescent="0.3">
      <c r="A14" s="2">
        <v>13</v>
      </c>
      <c r="B14" s="3">
        <v>5</v>
      </c>
      <c r="C14" s="19" t="s">
        <v>217</v>
      </c>
      <c r="D14" s="1" t="s">
        <v>169</v>
      </c>
      <c r="E14" s="1" t="s">
        <v>218</v>
      </c>
      <c r="F14" s="4">
        <v>35.693800000000003</v>
      </c>
      <c r="G14" s="4">
        <v>139.70339999999999</v>
      </c>
      <c r="H14" s="3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CONSULTA_PEDIDO</vt:lpstr>
      <vt:lpstr>RESUMEN_TRAZABILIDAD</vt:lpstr>
      <vt:lpstr>CONTINENTE</vt:lpstr>
      <vt:lpstr>PAIS</vt:lpstr>
      <vt:lpstr>DEPARTAMENTO</vt:lpstr>
      <vt:lpstr>MUNICIPIO</vt:lpstr>
      <vt:lpstr>BARRIO</vt:lpstr>
      <vt:lpstr>PRODUCTO</vt:lpstr>
      <vt:lpstr>CLIENTE</vt:lpstr>
      <vt:lpstr>TRANSPORTADORA</vt:lpstr>
      <vt:lpstr>PEDIDO</vt:lpstr>
      <vt:lpstr>DETALLE_PRODUCTO</vt:lpstr>
      <vt:lpstr>EVENTO_TRAZABILIDAD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JANNIER JOHAN OTAVO ARTUNDUAGA</cp:lastModifiedBy>
  <dcterms:created xsi:type="dcterms:W3CDTF">2026-03-02T17:16:19Z</dcterms:created>
  <dcterms:modified xsi:type="dcterms:W3CDTF">2026-03-02T18:24:32Z</dcterms:modified>
</cp:coreProperties>
</file>